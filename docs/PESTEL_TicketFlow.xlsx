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erf\Downloads\ticketflow\docs\"/>
    </mc:Choice>
  </mc:AlternateContent>
  <xr:revisionPtr revIDLastSave="0" documentId="8_{D449738C-4247-4006-97A6-5A4CEF6D783E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Instructivo" sheetId="1" r:id="rId1"/>
    <sheet name="Áreas" sheetId="2" r:id="rId2"/>
    <sheet name="F_Pol" sheetId="3" r:id="rId3"/>
    <sheet name="F_Eco" sheetId="4" r:id="rId4"/>
    <sheet name="F_Soc" sheetId="5" r:id="rId5"/>
    <sheet name="F_Tec" sheetId="6" r:id="rId6"/>
    <sheet name="F_Amb" sheetId="7" r:id="rId7"/>
    <sheet name="F_Leg" sheetId="8" r:id="rId8"/>
    <sheet name="Matriz PESTEL" sheetId="9" r:id="rId9"/>
    <sheet name="Rel_PESTEL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9" l="1"/>
  <c r="D13" i="9"/>
  <c r="B13" i="9"/>
  <c r="F12" i="9"/>
  <c r="D12" i="9"/>
  <c r="B12" i="9"/>
  <c r="F11" i="9"/>
  <c r="D11" i="9"/>
  <c r="B11" i="9"/>
  <c r="F7" i="9"/>
  <c r="D7" i="9"/>
  <c r="B7" i="9"/>
  <c r="F6" i="9"/>
  <c r="D6" i="9"/>
  <c r="B6" i="9"/>
  <c r="F5" i="9"/>
  <c r="D5" i="9"/>
  <c r="B5" i="9"/>
  <c r="I6" i="8"/>
  <c r="G13" i="9" s="1"/>
  <c r="I5" i="8"/>
  <c r="G12" i="9" s="1"/>
  <c r="I4" i="8"/>
  <c r="D9" i="10" s="1"/>
  <c r="I6" i="7"/>
  <c r="E13" i="9" s="1"/>
  <c r="I5" i="7"/>
  <c r="E12" i="9" s="1"/>
  <c r="I4" i="7"/>
  <c r="I7" i="7" s="1"/>
  <c r="I6" i="6"/>
  <c r="C13" i="9" s="1"/>
  <c r="I5" i="6"/>
  <c r="C12" i="9" s="1"/>
  <c r="I4" i="6"/>
  <c r="I7" i="6" s="1"/>
  <c r="I6" i="5"/>
  <c r="G7" i="9" s="1"/>
  <c r="I5" i="5"/>
  <c r="G6" i="9" s="1"/>
  <c r="I4" i="5"/>
  <c r="G5" i="9" s="1"/>
  <c r="I6" i="4"/>
  <c r="E7" i="9" s="1"/>
  <c r="I5" i="4"/>
  <c r="E6" i="9" s="1"/>
  <c r="I4" i="4"/>
  <c r="I7" i="4" s="1"/>
  <c r="I6" i="3"/>
  <c r="C7" i="9" s="1"/>
  <c r="I5" i="3"/>
  <c r="C6" i="9" s="1"/>
  <c r="I4" i="3"/>
  <c r="D4" i="10" s="1"/>
  <c r="C10" i="9" l="1"/>
  <c r="C5" i="10"/>
  <c r="E10" i="9"/>
  <c r="D5" i="10"/>
  <c r="D10" i="10" s="1"/>
  <c r="I7" i="5"/>
  <c r="I7" i="8"/>
  <c r="G10" i="9"/>
  <c r="C6" i="10"/>
  <c r="C4" i="9"/>
  <c r="D6" i="10"/>
  <c r="E4" i="9"/>
  <c r="C11" i="9"/>
  <c r="C7" i="10"/>
  <c r="D7" i="10"/>
  <c r="G4" i="9"/>
  <c r="I7" i="3"/>
  <c r="E11" i="9"/>
  <c r="C8" i="10"/>
  <c r="C5" i="9"/>
  <c r="D8" i="10"/>
  <c r="G11" i="9"/>
  <c r="C9" i="10"/>
  <c r="E5" i="9"/>
  <c r="G15" i="9"/>
  <c r="C4" i="10"/>
  <c r="C10" i="10" l="1"/>
</calcChain>
</file>

<file path=xl/sharedStrings.xml><?xml version="1.0" encoding="utf-8"?>
<sst xmlns="http://schemas.openxmlformats.org/spreadsheetml/2006/main" count="269" uniqueCount="158">
  <si>
    <t>Manual del Usuario — Matriz PESTEL TicketFlow</t>
  </si>
  <si>
    <t>PROYECTO: TicketFlow — Sistema web para la gestión de eventos, espectáculos y reservas.</t>
  </si>
  <si>
    <t>MERCADO ANALIZADO: Colombia (nacional).</t>
  </si>
  <si>
    <t>REFERENTES DEL SECTOR: Tuboleta, Taquilla Live, Eventbrite, Ticketmaster.</t>
  </si>
  <si>
    <t>¿QUÉ ES EL ANÁLISIS PESTEL?</t>
  </si>
  <si>
    <t>El acrónimo PESTEL agrupa seis factores del macro-entorno que afectan a una empresa: Políticos, Económicos, Sociales, Tecnológicos, Ecológicos/Ambientales y Legales. El objetivo es identificar oportunidades y amenazas externas antes de tomar decisiones estratégicas.</t>
  </si>
  <si>
    <t>ESTRUCTURA DEL LIBRO:</t>
  </si>
  <si>
    <t xml:space="preserve">  1. Hoja 'Áreas': lista de los seis factores evaluados.</t>
  </si>
  <si>
    <t xml:space="preserve">  2. Hojas F_Pol, F_Eco, F_Soc, F_Tec, F_Amb, F_Leg: análisis detallado de cada factor con tres aspectos evaluados.</t>
  </si>
  <si>
    <t xml:space="preserve">  3. Hoja 'Matriz PESTEL': consolidado de los aspectos con mayor puntuación por factor.</t>
  </si>
  <si>
    <t xml:space="preserve">  4. Hoja 'Rel_PESTEL': análisis relativo — peso porcentual de cada factor sobre el total.</t>
  </si>
  <si>
    <t>CÓMO SE PUNTÚA CADA ASPECTO:</t>
  </si>
  <si>
    <t>Cada aspecto se evalúa en tres dimensiones (escala 1 a 5). La puntuación final es el producto de las tres:</t>
  </si>
  <si>
    <t xml:space="preserve">  Importancia × Intensidad × Tendencia = Puntuación</t>
  </si>
  <si>
    <t xml:space="preserve">  • Importancia (qué tanto afecta al proyecto):</t>
  </si>
  <si>
    <t xml:space="preserve">     Sin importancia = 1 | Poco Importante = 2 | Indiferente = 3 | Importante = 4 | Muy Importante = 5</t>
  </si>
  <si>
    <t xml:space="preserve">  • Intensidad (qué tan fuerte es el aspecto):</t>
  </si>
  <si>
    <t xml:space="preserve">     Muy Débil = 1 | Débil = 2 | Promedio = 3 | Fuerte = 4 | Muy Fuerte = 5</t>
  </si>
  <si>
    <t xml:space="preserve">  • Tendencia (comportamiento esperado del aspecto):</t>
  </si>
  <si>
    <t xml:space="preserve">     Mucho Peor = 1 | Peor = 2 | Indiferente = 3 | Mejora = 4 | Mejora Mucho = 5</t>
  </si>
  <si>
    <t xml:space="preserve">  • Marco Temporal: 'Definido' (corto plazo, con fecha clara) o 'Indefinido' (sin fecha, permanente).</t>
  </si>
  <si>
    <t>INTERPRETACIÓN DE LA PUNTUACIÓN:</t>
  </si>
  <si>
    <t xml:space="preserve">  1 a 30    → Impacto bajo</t>
  </si>
  <si>
    <t xml:space="preserve">  31 a 60   → Impacto moderado</t>
  </si>
  <si>
    <t xml:space="preserve">  61 a 100  → Impacto alto</t>
  </si>
  <si>
    <t xml:space="preserve">  101 a 125 → Impacto crítico (requiere estrategia inmediata)</t>
  </si>
  <si>
    <t>FUENTES CONSULTADAS (2025-2026):</t>
  </si>
  <si>
    <t xml:space="preserve">  • DANE — Cuentas Nacionales, sector Artes/Entretenimiento (+11,5% en 2025).</t>
  </si>
  <si>
    <t xml:space="preserve">  • Informes de Expertos — Mercado de Eventos en Colombia 2026-2035.</t>
  </si>
  <si>
    <t xml:space="preserve">  • SIC — Investigación a Tuboleta (2026) y Estatuto del Consumidor.</t>
  </si>
  <si>
    <t xml:space="preserve">  • Ley 2439 de 2024 — Modificaciones al Estatuto del Consumidor (e-commerce).</t>
  </si>
  <si>
    <t xml:space="preserve">  • Global Payments Report 2026 — Worldpay (pagos digitales en Colombia).</t>
  </si>
  <si>
    <t xml:space="preserve">  • Bloomberg Línea / Semana / Portafolio — Sector entretenimiento 2025-2026.</t>
  </si>
  <si>
    <t>Áreas del Análisis PESTEL</t>
  </si>
  <si>
    <t>Políticos</t>
  </si>
  <si>
    <t>Económicos</t>
  </si>
  <si>
    <t>Sociales</t>
  </si>
  <si>
    <t>Tecnológicos</t>
  </si>
  <si>
    <t>Ambientales</t>
  </si>
  <si>
    <t>Legales</t>
  </si>
  <si>
    <t>TicketFlow — Proyecto Integrador 2026-2</t>
  </si>
  <si>
    <t>FACTOR POLÍTICO</t>
  </si>
  <si>
    <t>#</t>
  </si>
  <si>
    <t>Aspectos a evaluar en Factores Político</t>
  </si>
  <si>
    <t>¿Cómo puede impactar en TicketFlow?</t>
  </si>
  <si>
    <t>Importancia</t>
  </si>
  <si>
    <t>Marco Temporal</t>
  </si>
  <si>
    <t>Intensidad</t>
  </si>
  <si>
    <t>Tipo de Tendencia</t>
  </si>
  <si>
    <t>Puntuación</t>
  </si>
  <si>
    <t>Estabilidad política y su impacto en regulaciones de eventos masivos</t>
  </si>
  <si>
    <t>Un entorno político estable facilita la obtención de permisos y la operación normal de la plataforma; la inestabilidad puede generar cambios normativos abruptos que afecten la programación de eventos.</t>
  </si>
  <si>
    <t>Importante</t>
  </si>
  <si>
    <t>Indefinido</t>
  </si>
  <si>
    <t>Fuerte</t>
  </si>
  <si>
    <t>Indiferente</t>
  </si>
  <si>
    <t>Políticas de fomento a la industria cultural y creativa (Ministerio de Cultura)</t>
  </si>
  <si>
    <t>Programas de apoyo al sector cultural amplían la oferta de eventos disponibles en la plataforma y generan mayor volumen de reservas.</t>
  </si>
  <si>
    <t>Muy importante</t>
  </si>
  <si>
    <t>Mejora</t>
  </si>
  <si>
    <t>Regulación gubernamental sobre permisos, aforos y logística de eventos públicos</t>
  </si>
  <si>
    <t>Regulaciones claras y ágiles habilitan a agentes/operadores a publicar eventos con mayor frecuencia; regulaciones restrictivas limitan la oferta.</t>
  </si>
  <si>
    <t>Muy Fuerte</t>
  </si>
  <si>
    <t>Puntuación global del factor político</t>
  </si>
  <si>
    <t>FUENTES DE INFORMACIÓN</t>
  </si>
  <si>
    <t>MinCultura Colombia — Programa Nacional de Estímulos: https://www.mincultura.gov.co/</t>
  </si>
  <si>
    <t>Ministerio del Interior — Permisos para espectáculos públicos: https://www.mininterior.gov.co/</t>
  </si>
  <si>
    <t>FACTOR ECONÓMICO</t>
  </si>
  <si>
    <t>Aspectos a evaluar en Factores Económico</t>
  </si>
  <si>
    <t>Crecimiento del mercado de eventos en Colombia (USD 6,7B en 2025 → proyección USD 17,1B en 2035, CAGR 9,9%)</t>
  </si>
  <si>
    <t>Mercado en fuerte expansión asegura una demanda creciente de plataformas digitales de gestión y reserva de eventos.</t>
  </si>
  <si>
    <t>Mejora Mucho</t>
  </si>
  <si>
    <t>Inflación anual del 6,14% (junio 2026) y desaceleración del gasto de hogares</t>
  </si>
  <si>
    <t>La pérdida de poder adquisitivo puede reducir la frecuencia de compra de boletas de alto valor y presiona a diferenciarse por precio o beneficios.</t>
  </si>
  <si>
    <t>Definido</t>
  </si>
  <si>
    <t>Peor</t>
  </si>
  <si>
    <t>Sector Artes, Entretenimiento y Recreación creció 11,5% en 2025 (DANE) — mayor avance sectorial del país</t>
  </si>
  <si>
    <t>El sector es el motor de crecimiento más dinámico, lo que valida la oportunidad de mercado para una plataforma de ticketing local.</t>
  </si>
  <si>
    <t>Puntuación global del factor económico</t>
  </si>
  <si>
    <t>Informes de Expertos — Mercado de Eventos en Colombia 2026-2035: https://www.informesdeexpertos.com/informes/mercado-de-eventos-en-colombia</t>
  </si>
  <si>
    <t>DANE — Cuentas Trimestrales 2025 (sector Artes/Entretenimiento).</t>
  </si>
  <si>
    <t>El Espectador — Inflación junio 2026: https://www.elespectador.com/economia/macroeconomia/inflacion-colombia-junio-2026-esto-dicen-los-datos-del-dane/</t>
  </si>
  <si>
    <t>Bloomberg Línea — Entretenimiento como motor 2024-2026.</t>
  </si>
  <si>
    <t>FACTOR SOCIAL</t>
  </si>
  <si>
    <t>Aspectos a evaluar en Factores Social</t>
  </si>
  <si>
    <t>Creciente demanda de experiencias en vivo y consumo experiencial post-pandemia</t>
  </si>
  <si>
    <t>Los hogares reorientan gasto hacia experiencias (conciertos, cine, ecoturismo), aumentando el volumen potencial de reservas en la plataforma.</t>
  </si>
  <si>
    <t>Preferencia de compra digital de boletas en jóvenes y clase media urbana</t>
  </si>
  <si>
    <t>El público objetivo natural de TicketFlow ya está habituado a comprar y gestionar boletas por canales digitales.</t>
  </si>
  <si>
    <t>Ciudades intermedias (Medellín, Barranquilla, Cali) consolidadas como destinos habituales de conciertos y eventos deportivos</t>
  </si>
  <si>
    <t>Amplía la cobertura geográfica potencial más allá de Bogotá y permite alianzas regionales con agentes/operadores locales.</t>
  </si>
  <si>
    <t>Puntuación global del factor social</t>
  </si>
  <si>
    <t>Bloomberg Línea — Entretenimiento sector más dinámico 2024.</t>
  </si>
  <si>
    <t>Portafolio — Auge del entretenimiento y competencia por medios de pago 2025.</t>
  </si>
  <si>
    <t>Semana — Conciertos y festivales como motor económico 2024.</t>
  </si>
  <si>
    <t>FACTOR TECNOLÓGICO</t>
  </si>
  <si>
    <t>Aspectos a evaluar en Factores Tecnológico</t>
  </si>
  <si>
    <t>Billeteras digitales (Nequi, Daviplata) representan el 29% del valor total de transacciones e-commerce en Colombia</t>
  </si>
  <si>
    <t>La plataforma debe integrarse desde el inicio con billeteras locales para no perder conversión en el checkout.</t>
  </si>
  <si>
    <t>El código QR es el método usado en el 76% de pagos móviles en establecimientos comerciales</t>
  </si>
  <si>
    <t>El estándar QR es idóneo tanto para el pago como para la validación de boletas en el ingreso al evento — una sola tecnología cubre ambos flujos.</t>
  </si>
  <si>
    <t>Transferencias A2A (Bre-B) proyectadas al 41% del e-commerce colombiano para 2030</t>
  </si>
  <si>
    <t>Preparar la arquitectura de pagos para A2A anticipa el desplazamiento del pago con tarjeta y reduce comisiones para agentes.</t>
  </si>
  <si>
    <t>Puntuación global del factor tecnológico</t>
  </si>
  <si>
    <t>Portafolio — Global Payments Report 2026 (Worldpay): https://www.portafolio.co/tecnologia/bre-b-y-billeteras-impulsan-el-crecimiento-de-los-pagos-digitales-en-colombia-dice-el-global-payments-report-495647</t>
  </si>
  <si>
    <t>Pulzo — Nequi, DaviPlata y QR cambian el pago en Colombia.</t>
  </si>
  <si>
    <t>Infobae — Transferencias A2A cambian compras online 2026.</t>
  </si>
  <si>
    <t>FACTOR AMBIENTAL</t>
  </si>
  <si>
    <t>Aspectos a evaluar en Factores Ambiental</t>
  </si>
  <si>
    <t>Reducción de papel gracias a boletas digitales / QR frente a boletería física</t>
  </si>
  <si>
    <t>La operación digital de TicketFlow ya es intrínsecamente más sostenible que la boletería tradicional; puede comunicarse como valor de marca.</t>
  </si>
  <si>
    <t>Promedio</t>
  </si>
  <si>
    <t>Presión creciente por reducir la huella de carbono de eventos masivos (transporte, iluminación, residuos)</t>
  </si>
  <si>
    <t>Los organizadores empiezan a solicitar reportes ambientales; a mediano plazo la plataforma podría diferenciarse ofreciéndolos.</t>
  </si>
  <si>
    <t>Débil</t>
  </si>
  <si>
    <t>Riesgo operativo por eventos climáticos extremos (lluvias, olas de calor) que cancelan actividades al aire libre</t>
  </si>
  <si>
    <t>Aumenta la tasa de cancelaciones y reembolsos, presionando la operación de PQRS y el flujo de caja.</t>
  </si>
  <si>
    <t>Puntuación global del factor ambiental</t>
  </si>
  <si>
    <t>IDEAM — Reportes climatológicos y de riesgo Colombia 2025-2026.</t>
  </si>
  <si>
    <t>Bloomberg Línea — Sostenibilidad y eventos masivos en LatAm.</t>
  </si>
  <si>
    <t>FACTOR LEGAL</t>
  </si>
  <si>
    <t>Aspectos a evaluar en Factores Legal</t>
  </si>
  <si>
    <t>Ley 2439 de 2024 — Modifica el Estatuto del Consumidor: obliga a reembolsos en e-commerce en 15 días calendario y a canales de PQRS con número de trazabilidad</t>
  </si>
  <si>
    <t>REQUISITO OBLIGATORIO de arquitectura: el módulo de reembolsos y PQRS debe cumplir los plazos y la trazabilidad desde el primer día. No es opcional.</t>
  </si>
  <si>
    <t>Investigación abierta por la SIC contra Tuboleta (2026) por fallas en información al consumidor, derecho de retracto y PQRS</t>
  </si>
  <si>
    <t>Precedente reciente en el mismo sector: cumplir el Estatuto del Consumidor no es teórico — la autoridad ya sanciona activamente. Riesgo legal si no se cumple.</t>
  </si>
  <si>
    <t>Ley 1581 de 2012 (Habeas Data) — Régimen general de protección de datos personales</t>
  </si>
  <si>
    <t>El manejo de datos de clientes (identificación, correo, teléfono, pagos) requiere política de tratamiento de datos, autorización explícita y medidas de seguridad.</t>
  </si>
  <si>
    <t>Puntuación global del factor legal</t>
  </si>
  <si>
    <t>SIC — Estatuto del Consumidor: https://www.sic.gov.co/estatutos-consumidor</t>
  </si>
  <si>
    <t>Holland &amp; Knight — Análisis Ley 2439 de 2024: https://www.hklaw.com/en/insights/publications/2025/01/ley-2439-de-2024-modificaciones-al-estatuto-del-consumidor-en-colombia</t>
  </si>
  <si>
    <t>Infobae — SIC investigación Tuboleta 2026: https://www.infobae.com/colombia/2026/06/04/sic-sanciono-a-operadora-de-tu-boleta-por-problemas-de-los-usuarios-al-momento-de-comprar-boleteria/</t>
  </si>
  <si>
    <t>Función Pública — Ley 1581 de 2012 (Habeas Data).</t>
  </si>
  <si>
    <t>TicketFlow — Matriz PESTEL Consolidada</t>
  </si>
  <si>
    <t>Factores Político (P)</t>
  </si>
  <si>
    <t>Factores Económico (E)</t>
  </si>
  <si>
    <t>Factores Social (S)</t>
  </si>
  <si>
    <t>Top 3 Aspectos — Factor Político</t>
  </si>
  <si>
    <t>Top 3 Aspectos — Factor Económico</t>
  </si>
  <si>
    <t>Top 3 Aspectos — Factor Social</t>
  </si>
  <si>
    <t>Factores Tecnológico (T)</t>
  </si>
  <si>
    <t>Factores Ambiental (A)</t>
  </si>
  <si>
    <t>Factores Legal (L)</t>
  </si>
  <si>
    <t>Top 3 Aspectos — Factor Tecnológico</t>
  </si>
  <si>
    <t>Top 3 Aspectos — Factor Ambiental</t>
  </si>
  <si>
    <t>Top 3 Aspectos — Factor Legal</t>
  </si>
  <si>
    <t>PUNTUACIÓN GLOBAL PESTEL — TicketFlow</t>
  </si>
  <si>
    <t>TicketFlow — Análisis Relativo PESTEL</t>
  </si>
  <si>
    <t>Factor</t>
  </si>
  <si>
    <t>Peso Relativo (%)</t>
  </si>
  <si>
    <t>Puntuación Total</t>
  </si>
  <si>
    <t>TOTAL</t>
  </si>
  <si>
    <t>INTERPRETACIÓN ESTRATÉGICA</t>
  </si>
  <si>
    <t>1. El sector de entretenimiento es el motor económico más dinámico de Colombia (creció 11,5% en 2025 según DANE) y el mercado de eventos se proyecta triplicar su tamaño para 2035. Oportunidad de mercado sólida.</t>
  </si>
  <si>
    <t>2. Los factores Tecnológico y Económico presentan el mayor puntaje positivo — la adopción de billeteras digitales (Nequi/QR/A2A) y el crecimiento del mercado son las principales oportunidades a capitalizar.</t>
  </si>
  <si>
    <t>3. El factor Legal es la amenaza más crítica: la Ley 2439/2024 y el precedente SIC vs. Tuboleta obligan a que PQRS, derecho de retracto y transparencia de precios sean requisitos innegociables desde el sprint 1.</t>
  </si>
  <si>
    <t>4. El factor Ambiental tiene el menor peso, pero incluye un riesgo operativo relevante (cancelaciones por clima) que debe considerarse en la política de reembolsos.</t>
  </si>
  <si>
    <t>5. La inflación y la desaceleración del gasto de hogares (factor Económico) es una amenaza a monitorear — puede afectar el ticket promedio de las reservas.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</si>
</sst>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0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color rgb="FF0563C1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0563C1"/>
      </patternFill>
    </fill>
    <fill>
      <patternFill patternType="solid">
        <fgColor rgb="FF305496"/>
        <bgColor rgb="FF1F4E78"/>
      </patternFill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3" fillId="0" borderId="0" xfId="0" applyFont="1"/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zoomScaleNormal="100" workbookViewId="0"/>
  </sheetViews>
  <sheetFormatPr baseColWidth="10" defaultColWidth="8.6640625" defaultRowHeight="14.4" x14ac:dyDescent="0.3"/>
  <cols>
    <col min="1" max="1" width="120" customWidth="1"/>
  </cols>
  <sheetData>
    <row r="1" spans="1:1" ht="27.75" customHeight="1" x14ac:dyDescent="0.3">
      <c r="A1" s="9" t="s">
        <v>0</v>
      </c>
    </row>
    <row r="2" spans="1:1" x14ac:dyDescent="0.3">
      <c r="A2" s="10"/>
    </row>
    <row r="3" spans="1:1" x14ac:dyDescent="0.3">
      <c r="A3" s="11" t="s">
        <v>1</v>
      </c>
    </row>
    <row r="4" spans="1:1" x14ac:dyDescent="0.3">
      <c r="A4" s="11" t="s">
        <v>2</v>
      </c>
    </row>
    <row r="5" spans="1:1" x14ac:dyDescent="0.3">
      <c r="A5" s="11" t="s">
        <v>3</v>
      </c>
    </row>
    <row r="6" spans="1:1" x14ac:dyDescent="0.3">
      <c r="A6" s="10"/>
    </row>
    <row r="7" spans="1:1" x14ac:dyDescent="0.3">
      <c r="A7" s="11" t="s">
        <v>4</v>
      </c>
    </row>
    <row r="8" spans="1:1" ht="26.4" x14ac:dyDescent="0.3">
      <c r="A8" s="10" t="s">
        <v>5</v>
      </c>
    </row>
    <row r="9" spans="1:1" x14ac:dyDescent="0.3">
      <c r="A9" s="10"/>
    </row>
    <row r="10" spans="1:1" x14ac:dyDescent="0.3">
      <c r="A10" s="11" t="s">
        <v>6</v>
      </c>
    </row>
    <row r="11" spans="1:1" x14ac:dyDescent="0.3">
      <c r="A11" s="10" t="s">
        <v>7</v>
      </c>
    </row>
    <row r="12" spans="1:1" x14ac:dyDescent="0.3">
      <c r="A12" s="10" t="s">
        <v>8</v>
      </c>
    </row>
    <row r="13" spans="1:1" x14ac:dyDescent="0.3">
      <c r="A13" s="10" t="s">
        <v>9</v>
      </c>
    </row>
    <row r="14" spans="1:1" x14ac:dyDescent="0.3">
      <c r="A14" s="10" t="s">
        <v>10</v>
      </c>
    </row>
    <row r="15" spans="1:1" x14ac:dyDescent="0.3">
      <c r="A15" s="10"/>
    </row>
    <row r="16" spans="1:1" x14ac:dyDescent="0.3">
      <c r="A16" s="11" t="s">
        <v>11</v>
      </c>
    </row>
    <row r="17" spans="1:1" x14ac:dyDescent="0.3">
      <c r="A17" s="10" t="s">
        <v>12</v>
      </c>
    </row>
    <row r="18" spans="1:1" x14ac:dyDescent="0.3">
      <c r="A18" s="10" t="s">
        <v>13</v>
      </c>
    </row>
    <row r="19" spans="1:1" x14ac:dyDescent="0.3">
      <c r="A19" s="10"/>
    </row>
    <row r="20" spans="1:1" x14ac:dyDescent="0.3">
      <c r="A20" s="10" t="s">
        <v>14</v>
      </c>
    </row>
    <row r="21" spans="1:1" x14ac:dyDescent="0.3">
      <c r="A21" s="10" t="s">
        <v>15</v>
      </c>
    </row>
    <row r="22" spans="1:1" x14ac:dyDescent="0.3">
      <c r="A22" s="10"/>
    </row>
    <row r="23" spans="1:1" x14ac:dyDescent="0.3">
      <c r="A23" s="10" t="s">
        <v>16</v>
      </c>
    </row>
    <row r="24" spans="1:1" x14ac:dyDescent="0.3">
      <c r="A24" s="10" t="s">
        <v>17</v>
      </c>
    </row>
    <row r="25" spans="1:1" x14ac:dyDescent="0.3">
      <c r="A25" s="10"/>
    </row>
    <row r="26" spans="1:1" x14ac:dyDescent="0.3">
      <c r="A26" s="10" t="s">
        <v>18</v>
      </c>
    </row>
    <row r="27" spans="1:1" x14ac:dyDescent="0.3">
      <c r="A27" s="10" t="s">
        <v>19</v>
      </c>
    </row>
    <row r="28" spans="1:1" x14ac:dyDescent="0.3">
      <c r="A28" s="10"/>
    </row>
    <row r="29" spans="1:1" x14ac:dyDescent="0.3">
      <c r="A29" s="10" t="s">
        <v>20</v>
      </c>
    </row>
    <row r="30" spans="1:1" x14ac:dyDescent="0.3">
      <c r="A30" s="10"/>
    </row>
    <row r="31" spans="1:1" x14ac:dyDescent="0.3">
      <c r="A31" s="11" t="s">
        <v>21</v>
      </c>
    </row>
    <row r="32" spans="1:1" x14ac:dyDescent="0.3">
      <c r="A32" s="10" t="s">
        <v>22</v>
      </c>
    </row>
    <row r="33" spans="1:1" x14ac:dyDescent="0.3">
      <c r="A33" s="10" t="s">
        <v>23</v>
      </c>
    </row>
    <row r="34" spans="1:1" x14ac:dyDescent="0.3">
      <c r="A34" s="10" t="s">
        <v>24</v>
      </c>
    </row>
    <row r="35" spans="1:1" x14ac:dyDescent="0.3">
      <c r="A35" s="10" t="s">
        <v>25</v>
      </c>
    </row>
    <row r="36" spans="1:1" x14ac:dyDescent="0.3">
      <c r="A36" s="10"/>
    </row>
    <row r="37" spans="1:1" x14ac:dyDescent="0.3">
      <c r="A37" s="11" t="s">
        <v>26</v>
      </c>
    </row>
    <row r="38" spans="1:1" x14ac:dyDescent="0.3">
      <c r="A38" s="10" t="s">
        <v>27</v>
      </c>
    </row>
    <row r="39" spans="1:1" x14ac:dyDescent="0.3">
      <c r="A39" s="10" t="s">
        <v>28</v>
      </c>
    </row>
    <row r="40" spans="1:1" x14ac:dyDescent="0.3">
      <c r="A40" s="10" t="s">
        <v>29</v>
      </c>
    </row>
    <row r="41" spans="1:1" x14ac:dyDescent="0.3">
      <c r="A41" s="10" t="s">
        <v>30</v>
      </c>
    </row>
    <row r="42" spans="1:1" x14ac:dyDescent="0.3">
      <c r="A42" s="10" t="s">
        <v>31</v>
      </c>
    </row>
    <row r="43" spans="1:1" x14ac:dyDescent="0.3">
      <c r="A43" s="10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/>
  </sheetViews>
  <sheetFormatPr baseColWidth="10" defaultColWidth="8.6640625" defaultRowHeight="14.4" x14ac:dyDescent="0.3"/>
  <cols>
    <col min="1" max="1" width="25" customWidth="1"/>
  </cols>
  <sheetData>
    <row r="1" spans="1:1" ht="27.6" x14ac:dyDescent="0.3">
      <c r="A1" s="12" t="s">
        <v>33</v>
      </c>
    </row>
    <row r="2" spans="1:1" x14ac:dyDescent="0.3">
      <c r="A2" s="13" t="s">
        <v>34</v>
      </c>
    </row>
    <row r="3" spans="1:1" x14ac:dyDescent="0.3">
      <c r="A3" s="13" t="s">
        <v>35</v>
      </c>
    </row>
    <row r="4" spans="1:1" x14ac:dyDescent="0.3">
      <c r="A4" s="13" t="s">
        <v>36</v>
      </c>
    </row>
    <row r="5" spans="1:1" x14ac:dyDescent="0.3">
      <c r="A5" s="13" t="s">
        <v>37</v>
      </c>
    </row>
    <row r="6" spans="1:1" x14ac:dyDescent="0.3">
      <c r="A6" s="13" t="s">
        <v>38</v>
      </c>
    </row>
    <row r="7" spans="1:1" x14ac:dyDescent="0.3">
      <c r="A7" s="1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1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6" customWidth="1"/>
    <col min="3" max="3" width="40" customWidth="1"/>
    <col min="4" max="4" width="55" customWidth="1"/>
    <col min="5" max="5" width="18" customWidth="1"/>
    <col min="6" max="7" width="16" customWidth="1"/>
    <col min="8" max="8" width="18" customWidth="1"/>
    <col min="9" max="9" width="14" customWidth="1"/>
  </cols>
  <sheetData>
    <row r="1" spans="2:9" ht="24" customHeight="1" x14ac:dyDescent="0.3">
      <c r="B1" s="8" t="s">
        <v>40</v>
      </c>
      <c r="C1" s="8"/>
      <c r="D1" s="8"/>
      <c r="E1" s="8"/>
      <c r="F1" s="8"/>
      <c r="G1" s="8"/>
      <c r="H1" s="8"/>
      <c r="I1" s="8"/>
    </row>
    <row r="2" spans="2:9" ht="21.75" customHeight="1" x14ac:dyDescent="0.3">
      <c r="B2" s="7" t="s">
        <v>41</v>
      </c>
      <c r="C2" s="7"/>
      <c r="D2" s="7"/>
      <c r="E2" s="7"/>
      <c r="F2" s="7"/>
      <c r="G2" s="7"/>
      <c r="H2" s="7"/>
      <c r="I2" s="7"/>
    </row>
    <row r="3" spans="2:9" ht="39.75" customHeight="1" x14ac:dyDescent="0.3"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2:9" ht="60" customHeight="1" x14ac:dyDescent="0.3">
      <c r="B4" s="15">
        <v>1</v>
      </c>
      <c r="C4" s="16" t="s">
        <v>50</v>
      </c>
      <c r="D4" s="16" t="s">
        <v>51</v>
      </c>
      <c r="E4" s="15" t="s">
        <v>52</v>
      </c>
      <c r="F4" s="15" t="s">
        <v>53</v>
      </c>
      <c r="G4" s="15" t="s">
        <v>54</v>
      </c>
      <c r="H4" s="15" t="s">
        <v>55</v>
      </c>
      <c r="I4" s="17">
        <f>(IF(E4="Sin importancia",1,IF(E4="Poco importante",2,IF(E4="Indiferente",3,IF(E4="Importante",4,IF(E4="Muy importante",5,0)))))*IF(G4="Muy Débil",1,IF(G4="Débil",2,IF(G4="Promedio",3,IF(G4="Fuerte",4,IF(G4="Muy Fuerte",5,0)))))*IF(H4="Mucho Peor",1,IF(H4="Peor",2,IF(H4="Indiferente",3,IF(H4="Mejora",4,IF(H4="Mejora Mucho",5,0))))))</f>
        <v>48</v>
      </c>
    </row>
    <row r="5" spans="2:9" ht="60" customHeight="1" x14ac:dyDescent="0.3">
      <c r="B5" s="15">
        <v>2</v>
      </c>
      <c r="C5" s="16" t="s">
        <v>56</v>
      </c>
      <c r="D5" s="16" t="s">
        <v>57</v>
      </c>
      <c r="E5" s="15" t="s">
        <v>58</v>
      </c>
      <c r="F5" s="15" t="s">
        <v>53</v>
      </c>
      <c r="G5" s="15" t="s">
        <v>54</v>
      </c>
      <c r="H5" s="15" t="s">
        <v>59</v>
      </c>
      <c r="I5" s="17">
        <f>(IF(E5="Sin importancia",1,IF(E5="Poco importante",2,IF(E5="Indiferente",3,IF(E5="Importante",4,IF(E5="Muy importante",5,0)))))*IF(G5="Muy Débil",1,IF(G5="Débil",2,IF(G5="Promedio",3,IF(G5="Fuerte",4,IF(G5="Muy Fuerte",5,0)))))*IF(H5="Mucho Peor",1,IF(H5="Peor",2,IF(H5="Indiferente",3,IF(H5="Mejora",4,IF(H5="Mejora Mucho",5,0))))))</f>
        <v>80</v>
      </c>
    </row>
    <row r="6" spans="2:9" ht="60" customHeight="1" x14ac:dyDescent="0.3">
      <c r="B6" s="15">
        <v>3</v>
      </c>
      <c r="C6" s="16" t="s">
        <v>60</v>
      </c>
      <c r="D6" s="16" t="s">
        <v>61</v>
      </c>
      <c r="E6" s="15" t="s">
        <v>58</v>
      </c>
      <c r="F6" s="15" t="s">
        <v>53</v>
      </c>
      <c r="G6" s="15" t="s">
        <v>62</v>
      </c>
      <c r="H6" s="15" t="s">
        <v>59</v>
      </c>
      <c r="I6" s="17">
        <f>(IF(E6="Sin importancia",1,IF(E6="Poco importante",2,IF(E6="Indiferente",3,IF(E6="Importante",4,IF(E6="Muy importante",5,0)))))*IF(G6="Muy Débil",1,IF(G6="Débil",2,IF(G6="Promedio",3,IF(G6="Fuerte",4,IF(G6="Muy Fuerte",5,0)))))*IF(H6="Mucho Peor",1,IF(H6="Peor",2,IF(H6="Indiferente",3,IF(H6="Mejora",4,IF(H6="Mejora Mucho",5,0))))))</f>
        <v>100</v>
      </c>
    </row>
    <row r="7" spans="2:9" ht="21.75" customHeight="1" x14ac:dyDescent="0.3">
      <c r="B7" s="6" t="s">
        <v>63</v>
      </c>
      <c r="C7" s="6"/>
      <c r="D7" s="6"/>
      <c r="E7" s="6"/>
      <c r="F7" s="6"/>
      <c r="G7" s="6"/>
      <c r="H7" s="6"/>
      <c r="I7" s="12">
        <f>SUM(I4:I6)</f>
        <v>228</v>
      </c>
    </row>
    <row r="9" spans="2:9" x14ac:dyDescent="0.3">
      <c r="B9" s="5" t="s">
        <v>64</v>
      </c>
      <c r="C9" s="5"/>
      <c r="D9" s="5"/>
      <c r="E9" s="5"/>
      <c r="F9" s="5"/>
      <c r="G9" s="5"/>
      <c r="H9" s="5"/>
      <c r="I9" s="5"/>
    </row>
    <row r="10" spans="2:9" ht="30" customHeight="1" x14ac:dyDescent="0.3">
      <c r="B10" s="4" t="s">
        <v>65</v>
      </c>
      <c r="C10" s="4"/>
      <c r="D10" s="4"/>
      <c r="E10" s="4"/>
      <c r="F10" s="4"/>
      <c r="G10" s="4"/>
      <c r="H10" s="4"/>
      <c r="I10" s="4"/>
    </row>
    <row r="11" spans="2:9" ht="30" customHeight="1" x14ac:dyDescent="0.3">
      <c r="B11" s="4" t="s">
        <v>66</v>
      </c>
      <c r="C11" s="4"/>
      <c r="D11" s="4"/>
      <c r="E11" s="4"/>
      <c r="F11" s="4"/>
      <c r="G11" s="4"/>
      <c r="H11" s="4"/>
      <c r="I11" s="4"/>
    </row>
  </sheetData>
  <mergeCells count="6">
    <mergeCell ref="B11:I11"/>
    <mergeCell ref="B1:I1"/>
    <mergeCell ref="B2:I2"/>
    <mergeCell ref="B7:H7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3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6" customWidth="1"/>
    <col min="3" max="3" width="40" customWidth="1"/>
    <col min="4" max="4" width="55" customWidth="1"/>
    <col min="5" max="5" width="18" customWidth="1"/>
    <col min="6" max="7" width="16" customWidth="1"/>
    <col min="8" max="8" width="18" customWidth="1"/>
    <col min="9" max="9" width="14" customWidth="1"/>
  </cols>
  <sheetData>
    <row r="1" spans="2:9" ht="24" customHeight="1" x14ac:dyDescent="0.3">
      <c r="B1" s="8" t="s">
        <v>40</v>
      </c>
      <c r="C1" s="8"/>
      <c r="D1" s="8"/>
      <c r="E1" s="8"/>
      <c r="F1" s="8"/>
      <c r="G1" s="8"/>
      <c r="H1" s="8"/>
      <c r="I1" s="8"/>
    </row>
    <row r="2" spans="2:9" ht="21.75" customHeight="1" x14ac:dyDescent="0.3">
      <c r="B2" s="7" t="s">
        <v>67</v>
      </c>
      <c r="C2" s="7"/>
      <c r="D2" s="7"/>
      <c r="E2" s="7"/>
      <c r="F2" s="7"/>
      <c r="G2" s="7"/>
      <c r="H2" s="7"/>
      <c r="I2" s="7"/>
    </row>
    <row r="3" spans="2:9" ht="39.75" customHeight="1" x14ac:dyDescent="0.3">
      <c r="B3" s="14" t="s">
        <v>42</v>
      </c>
      <c r="C3" s="14" t="s">
        <v>68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2:9" ht="60" customHeight="1" x14ac:dyDescent="0.3">
      <c r="B4" s="15">
        <v>1</v>
      </c>
      <c r="C4" s="16" t="s">
        <v>69</v>
      </c>
      <c r="D4" s="16" t="s">
        <v>70</v>
      </c>
      <c r="E4" s="15" t="s">
        <v>58</v>
      </c>
      <c r="F4" s="15" t="s">
        <v>53</v>
      </c>
      <c r="G4" s="15" t="s">
        <v>62</v>
      </c>
      <c r="H4" s="15" t="s">
        <v>71</v>
      </c>
      <c r="I4" s="17">
        <f>(IF(E4="Sin importancia",1,IF(E4="Poco importante",2,IF(E4="Indiferente",3,IF(E4="Importante",4,IF(E4="Muy importante",5,0)))))*IF(G4="Muy Débil",1,IF(G4="Débil",2,IF(G4="Promedio",3,IF(G4="Fuerte",4,IF(G4="Muy Fuerte",5,0)))))*IF(H4="Mucho Peor",1,IF(H4="Peor",2,IF(H4="Indiferente",3,IF(H4="Mejora",4,IF(H4="Mejora Mucho",5,0))))))</f>
        <v>125</v>
      </c>
    </row>
    <row r="5" spans="2:9" ht="60" customHeight="1" x14ac:dyDescent="0.3">
      <c r="B5" s="15">
        <v>2</v>
      </c>
      <c r="C5" s="16" t="s">
        <v>72</v>
      </c>
      <c r="D5" s="16" t="s">
        <v>73</v>
      </c>
      <c r="E5" s="15" t="s">
        <v>58</v>
      </c>
      <c r="F5" s="15" t="s">
        <v>74</v>
      </c>
      <c r="G5" s="15" t="s">
        <v>54</v>
      </c>
      <c r="H5" s="15" t="s">
        <v>75</v>
      </c>
      <c r="I5" s="17">
        <f>(IF(E5="Sin importancia",1,IF(E5="Poco importante",2,IF(E5="Indiferente",3,IF(E5="Importante",4,IF(E5="Muy importante",5,0)))))*IF(G5="Muy Débil",1,IF(G5="Débil",2,IF(G5="Promedio",3,IF(G5="Fuerte",4,IF(G5="Muy Fuerte",5,0)))))*IF(H5="Mucho Peor",1,IF(H5="Peor",2,IF(H5="Indiferente",3,IF(H5="Mejora",4,IF(H5="Mejora Mucho",5,0))))))</f>
        <v>40</v>
      </c>
    </row>
    <row r="6" spans="2:9" ht="60" customHeight="1" x14ac:dyDescent="0.3">
      <c r="B6" s="15">
        <v>3</v>
      </c>
      <c r="C6" s="16" t="s">
        <v>76</v>
      </c>
      <c r="D6" s="16" t="s">
        <v>77</v>
      </c>
      <c r="E6" s="15" t="s">
        <v>58</v>
      </c>
      <c r="F6" s="15" t="s">
        <v>53</v>
      </c>
      <c r="G6" s="15" t="s">
        <v>62</v>
      </c>
      <c r="H6" s="15" t="s">
        <v>71</v>
      </c>
      <c r="I6" s="17">
        <f>(IF(E6="Sin importancia",1,IF(E6="Poco importante",2,IF(E6="Indiferente",3,IF(E6="Importante",4,IF(E6="Muy importante",5,0)))))*IF(G6="Muy Débil",1,IF(G6="Débil",2,IF(G6="Promedio",3,IF(G6="Fuerte",4,IF(G6="Muy Fuerte",5,0)))))*IF(H6="Mucho Peor",1,IF(H6="Peor",2,IF(H6="Indiferente",3,IF(H6="Mejora",4,IF(H6="Mejora Mucho",5,0))))))</f>
        <v>125</v>
      </c>
    </row>
    <row r="7" spans="2:9" ht="21.75" customHeight="1" x14ac:dyDescent="0.3">
      <c r="B7" s="6" t="s">
        <v>78</v>
      </c>
      <c r="C7" s="6"/>
      <c r="D7" s="6"/>
      <c r="E7" s="6"/>
      <c r="F7" s="6"/>
      <c r="G7" s="6"/>
      <c r="H7" s="6"/>
      <c r="I7" s="12">
        <f>SUM(I4:I6)</f>
        <v>290</v>
      </c>
    </row>
    <row r="9" spans="2:9" x14ac:dyDescent="0.3">
      <c r="B9" s="5" t="s">
        <v>64</v>
      </c>
      <c r="C9" s="5"/>
      <c r="D9" s="5"/>
      <c r="E9" s="5"/>
      <c r="F9" s="5"/>
      <c r="G9" s="5"/>
      <c r="H9" s="5"/>
      <c r="I9" s="5"/>
    </row>
    <row r="10" spans="2:9" ht="30" customHeight="1" x14ac:dyDescent="0.3">
      <c r="B10" s="4" t="s">
        <v>79</v>
      </c>
      <c r="C10" s="4"/>
      <c r="D10" s="4"/>
      <c r="E10" s="4"/>
      <c r="F10" s="4"/>
      <c r="G10" s="4"/>
      <c r="H10" s="4"/>
      <c r="I10" s="4"/>
    </row>
    <row r="11" spans="2:9" ht="30" customHeight="1" x14ac:dyDescent="0.3">
      <c r="B11" s="4" t="s">
        <v>80</v>
      </c>
      <c r="C11" s="4"/>
      <c r="D11" s="4"/>
      <c r="E11" s="4"/>
      <c r="F11" s="4"/>
      <c r="G11" s="4"/>
      <c r="H11" s="4"/>
      <c r="I11" s="4"/>
    </row>
    <row r="12" spans="2:9" ht="30" customHeight="1" x14ac:dyDescent="0.3">
      <c r="B12" s="4" t="s">
        <v>81</v>
      </c>
      <c r="C12" s="4"/>
      <c r="D12" s="4"/>
      <c r="E12" s="4"/>
      <c r="F12" s="4"/>
      <c r="G12" s="4"/>
      <c r="H12" s="4"/>
      <c r="I12" s="4"/>
    </row>
    <row r="13" spans="2:9" ht="30" customHeight="1" x14ac:dyDescent="0.3">
      <c r="B13" s="4" t="s">
        <v>82</v>
      </c>
      <c r="C13" s="4"/>
      <c r="D13" s="4"/>
      <c r="E13" s="4"/>
      <c r="F13" s="4"/>
      <c r="G13" s="4"/>
      <c r="H13" s="4"/>
      <c r="I13" s="4"/>
    </row>
  </sheetData>
  <mergeCells count="8">
    <mergeCell ref="B11:I11"/>
    <mergeCell ref="B12:I12"/>
    <mergeCell ref="B13:I13"/>
    <mergeCell ref="B1:I1"/>
    <mergeCell ref="B2:I2"/>
    <mergeCell ref="B7:H7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6" customWidth="1"/>
    <col min="3" max="3" width="40" customWidth="1"/>
    <col min="4" max="4" width="55" customWidth="1"/>
    <col min="5" max="5" width="18" customWidth="1"/>
    <col min="6" max="7" width="16" customWidth="1"/>
    <col min="8" max="8" width="18" customWidth="1"/>
    <col min="9" max="9" width="14" customWidth="1"/>
  </cols>
  <sheetData>
    <row r="1" spans="2:9" ht="24" customHeight="1" x14ac:dyDescent="0.3">
      <c r="B1" s="8" t="s">
        <v>40</v>
      </c>
      <c r="C1" s="8"/>
      <c r="D1" s="8"/>
      <c r="E1" s="8"/>
      <c r="F1" s="8"/>
      <c r="G1" s="8"/>
      <c r="H1" s="8"/>
      <c r="I1" s="8"/>
    </row>
    <row r="2" spans="2:9" ht="21.75" customHeight="1" x14ac:dyDescent="0.3">
      <c r="B2" s="7" t="s">
        <v>83</v>
      </c>
      <c r="C2" s="7"/>
      <c r="D2" s="7"/>
      <c r="E2" s="7"/>
      <c r="F2" s="7"/>
      <c r="G2" s="7"/>
      <c r="H2" s="7"/>
      <c r="I2" s="7"/>
    </row>
    <row r="3" spans="2:9" ht="39.75" customHeight="1" x14ac:dyDescent="0.3">
      <c r="B3" s="14" t="s">
        <v>42</v>
      </c>
      <c r="C3" s="14" t="s">
        <v>84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2:9" ht="60" customHeight="1" x14ac:dyDescent="0.3">
      <c r="B4" s="15">
        <v>1</v>
      </c>
      <c r="C4" s="16" t="s">
        <v>85</v>
      </c>
      <c r="D4" s="16" t="s">
        <v>86</v>
      </c>
      <c r="E4" s="15" t="s">
        <v>58</v>
      </c>
      <c r="F4" s="15" t="s">
        <v>53</v>
      </c>
      <c r="G4" s="15" t="s">
        <v>62</v>
      </c>
      <c r="H4" s="15" t="s">
        <v>71</v>
      </c>
      <c r="I4" s="17">
        <f>(IF(E4="Sin importancia",1,IF(E4="Poco importante",2,IF(E4="Indiferente",3,IF(E4="Importante",4,IF(E4="Muy importante",5,0)))))*IF(G4="Muy Débil",1,IF(G4="Débil",2,IF(G4="Promedio",3,IF(G4="Fuerte",4,IF(G4="Muy Fuerte",5,0)))))*IF(H4="Mucho Peor",1,IF(H4="Peor",2,IF(H4="Indiferente",3,IF(H4="Mejora",4,IF(H4="Mejora Mucho",5,0))))))</f>
        <v>125</v>
      </c>
    </row>
    <row r="5" spans="2:9" ht="60" customHeight="1" x14ac:dyDescent="0.3">
      <c r="B5" s="15">
        <v>2</v>
      </c>
      <c r="C5" s="16" t="s">
        <v>87</v>
      </c>
      <c r="D5" s="16" t="s">
        <v>88</v>
      </c>
      <c r="E5" s="15" t="s">
        <v>58</v>
      </c>
      <c r="F5" s="15" t="s">
        <v>53</v>
      </c>
      <c r="G5" s="15" t="s">
        <v>54</v>
      </c>
      <c r="H5" s="15" t="s">
        <v>71</v>
      </c>
      <c r="I5" s="17">
        <f>(IF(E5="Sin importancia",1,IF(E5="Poco importante",2,IF(E5="Indiferente",3,IF(E5="Importante",4,IF(E5="Muy importante",5,0)))))*IF(G5="Muy Débil",1,IF(G5="Débil",2,IF(G5="Promedio",3,IF(G5="Fuerte",4,IF(G5="Muy Fuerte",5,0)))))*IF(H5="Mucho Peor",1,IF(H5="Peor",2,IF(H5="Indiferente",3,IF(H5="Mejora",4,IF(H5="Mejora Mucho",5,0))))))</f>
        <v>100</v>
      </c>
    </row>
    <row r="6" spans="2:9" ht="60" customHeight="1" x14ac:dyDescent="0.3">
      <c r="B6" s="15">
        <v>3</v>
      </c>
      <c r="C6" s="16" t="s">
        <v>89</v>
      </c>
      <c r="D6" s="16" t="s">
        <v>90</v>
      </c>
      <c r="E6" s="15" t="s">
        <v>52</v>
      </c>
      <c r="F6" s="15" t="s">
        <v>53</v>
      </c>
      <c r="G6" s="15" t="s">
        <v>54</v>
      </c>
      <c r="H6" s="15" t="s">
        <v>59</v>
      </c>
      <c r="I6" s="17">
        <f>(IF(E6="Sin importancia",1,IF(E6="Poco importante",2,IF(E6="Indiferente",3,IF(E6="Importante",4,IF(E6="Muy importante",5,0)))))*IF(G6="Muy Débil",1,IF(G6="Débil",2,IF(G6="Promedio",3,IF(G6="Fuerte",4,IF(G6="Muy Fuerte",5,0)))))*IF(H6="Mucho Peor",1,IF(H6="Peor",2,IF(H6="Indiferente",3,IF(H6="Mejora",4,IF(H6="Mejora Mucho",5,0))))))</f>
        <v>64</v>
      </c>
    </row>
    <row r="7" spans="2:9" ht="21.75" customHeight="1" x14ac:dyDescent="0.3">
      <c r="B7" s="6" t="s">
        <v>91</v>
      </c>
      <c r="C7" s="6"/>
      <c r="D7" s="6"/>
      <c r="E7" s="6"/>
      <c r="F7" s="6"/>
      <c r="G7" s="6"/>
      <c r="H7" s="6"/>
      <c r="I7" s="12">
        <f>SUM(I4:I6)</f>
        <v>289</v>
      </c>
    </row>
    <row r="9" spans="2:9" x14ac:dyDescent="0.3">
      <c r="B9" s="5" t="s">
        <v>64</v>
      </c>
      <c r="C9" s="5"/>
      <c r="D9" s="5"/>
      <c r="E9" s="5"/>
      <c r="F9" s="5"/>
      <c r="G9" s="5"/>
      <c r="H9" s="5"/>
      <c r="I9" s="5"/>
    </row>
    <row r="10" spans="2:9" ht="30" customHeight="1" x14ac:dyDescent="0.3">
      <c r="B10" s="4" t="s">
        <v>92</v>
      </c>
      <c r="C10" s="4"/>
      <c r="D10" s="4"/>
      <c r="E10" s="4"/>
      <c r="F10" s="4"/>
      <c r="G10" s="4"/>
      <c r="H10" s="4"/>
      <c r="I10" s="4"/>
    </row>
    <row r="11" spans="2:9" ht="30" customHeight="1" x14ac:dyDescent="0.3">
      <c r="B11" s="4" t="s">
        <v>93</v>
      </c>
      <c r="C11" s="4"/>
      <c r="D11" s="4"/>
      <c r="E11" s="4"/>
      <c r="F11" s="4"/>
      <c r="G11" s="4"/>
      <c r="H11" s="4"/>
      <c r="I11" s="4"/>
    </row>
    <row r="12" spans="2:9" ht="30" customHeight="1" x14ac:dyDescent="0.3">
      <c r="B12" s="4" t="s">
        <v>94</v>
      </c>
      <c r="C12" s="4"/>
      <c r="D12" s="4"/>
      <c r="E12" s="4"/>
      <c r="F12" s="4"/>
      <c r="G12" s="4"/>
      <c r="H12" s="4"/>
      <c r="I12" s="4"/>
    </row>
  </sheetData>
  <mergeCells count="7">
    <mergeCell ref="B11:I11"/>
    <mergeCell ref="B12:I12"/>
    <mergeCell ref="B1:I1"/>
    <mergeCell ref="B2:I2"/>
    <mergeCell ref="B7:H7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2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6" customWidth="1"/>
    <col min="3" max="3" width="40" customWidth="1"/>
    <col min="4" max="4" width="55" customWidth="1"/>
    <col min="5" max="5" width="18" customWidth="1"/>
    <col min="6" max="7" width="16" customWidth="1"/>
    <col min="8" max="8" width="18" customWidth="1"/>
    <col min="9" max="9" width="14" customWidth="1"/>
  </cols>
  <sheetData>
    <row r="1" spans="2:9" ht="24" customHeight="1" x14ac:dyDescent="0.3">
      <c r="B1" s="8" t="s">
        <v>40</v>
      </c>
      <c r="C1" s="8"/>
      <c r="D1" s="8"/>
      <c r="E1" s="8"/>
      <c r="F1" s="8"/>
      <c r="G1" s="8"/>
      <c r="H1" s="8"/>
      <c r="I1" s="8"/>
    </row>
    <row r="2" spans="2:9" ht="21.75" customHeight="1" x14ac:dyDescent="0.3">
      <c r="B2" s="7" t="s">
        <v>95</v>
      </c>
      <c r="C2" s="7"/>
      <c r="D2" s="7"/>
      <c r="E2" s="7"/>
      <c r="F2" s="7"/>
      <c r="G2" s="7"/>
      <c r="H2" s="7"/>
      <c r="I2" s="7"/>
    </row>
    <row r="3" spans="2:9" ht="39.75" customHeight="1" x14ac:dyDescent="0.3">
      <c r="B3" s="14" t="s">
        <v>42</v>
      </c>
      <c r="C3" s="14" t="s">
        <v>96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2:9" ht="60" customHeight="1" x14ac:dyDescent="0.3">
      <c r="B4" s="15">
        <v>1</v>
      </c>
      <c r="C4" s="16" t="s">
        <v>97</v>
      </c>
      <c r="D4" s="16" t="s">
        <v>98</v>
      </c>
      <c r="E4" s="15" t="s">
        <v>58</v>
      </c>
      <c r="F4" s="15" t="s">
        <v>53</v>
      </c>
      <c r="G4" s="15" t="s">
        <v>62</v>
      </c>
      <c r="H4" s="15" t="s">
        <v>71</v>
      </c>
      <c r="I4" s="17">
        <f>(IF(E4="Sin importancia",1,IF(E4="Poco importante",2,IF(E4="Indiferente",3,IF(E4="Importante",4,IF(E4="Muy importante",5,0)))))*IF(G4="Muy Débil",1,IF(G4="Débil",2,IF(G4="Promedio",3,IF(G4="Fuerte",4,IF(G4="Muy Fuerte",5,0)))))*IF(H4="Mucho Peor",1,IF(H4="Peor",2,IF(H4="Indiferente",3,IF(H4="Mejora",4,IF(H4="Mejora Mucho",5,0))))))</f>
        <v>125</v>
      </c>
    </row>
    <row r="5" spans="2:9" ht="60" customHeight="1" x14ac:dyDescent="0.3">
      <c r="B5" s="15">
        <v>2</v>
      </c>
      <c r="C5" s="16" t="s">
        <v>99</v>
      </c>
      <c r="D5" s="16" t="s">
        <v>100</v>
      </c>
      <c r="E5" s="15" t="s">
        <v>58</v>
      </c>
      <c r="F5" s="15" t="s">
        <v>53</v>
      </c>
      <c r="G5" s="15" t="s">
        <v>62</v>
      </c>
      <c r="H5" s="15" t="s">
        <v>59</v>
      </c>
      <c r="I5" s="17">
        <f>(IF(E5="Sin importancia",1,IF(E5="Poco importante",2,IF(E5="Indiferente",3,IF(E5="Importante",4,IF(E5="Muy importante",5,0)))))*IF(G5="Muy Débil",1,IF(G5="Débil",2,IF(G5="Promedio",3,IF(G5="Fuerte",4,IF(G5="Muy Fuerte",5,0)))))*IF(H5="Mucho Peor",1,IF(H5="Peor",2,IF(H5="Indiferente",3,IF(H5="Mejora",4,IF(H5="Mejora Mucho",5,0))))))</f>
        <v>100</v>
      </c>
    </row>
    <row r="6" spans="2:9" ht="60" customHeight="1" x14ac:dyDescent="0.3">
      <c r="B6" s="15">
        <v>3</v>
      </c>
      <c r="C6" s="16" t="s">
        <v>101</v>
      </c>
      <c r="D6" s="16" t="s">
        <v>102</v>
      </c>
      <c r="E6" s="15" t="s">
        <v>52</v>
      </c>
      <c r="F6" s="15" t="s">
        <v>74</v>
      </c>
      <c r="G6" s="15" t="s">
        <v>54</v>
      </c>
      <c r="H6" s="15" t="s">
        <v>71</v>
      </c>
      <c r="I6" s="17">
        <f>(IF(E6="Sin importancia",1,IF(E6="Poco importante",2,IF(E6="Indiferente",3,IF(E6="Importante",4,IF(E6="Muy importante",5,0)))))*IF(G6="Muy Débil",1,IF(G6="Débil",2,IF(G6="Promedio",3,IF(G6="Fuerte",4,IF(G6="Muy Fuerte",5,0)))))*IF(H6="Mucho Peor",1,IF(H6="Peor",2,IF(H6="Indiferente",3,IF(H6="Mejora",4,IF(H6="Mejora Mucho",5,0))))))</f>
        <v>80</v>
      </c>
    </row>
    <row r="7" spans="2:9" ht="21.75" customHeight="1" x14ac:dyDescent="0.3">
      <c r="B7" s="6" t="s">
        <v>103</v>
      </c>
      <c r="C7" s="6"/>
      <c r="D7" s="6"/>
      <c r="E7" s="6"/>
      <c r="F7" s="6"/>
      <c r="G7" s="6"/>
      <c r="H7" s="6"/>
      <c r="I7" s="12">
        <f>SUM(I4:I6)</f>
        <v>305</v>
      </c>
    </row>
    <row r="9" spans="2:9" x14ac:dyDescent="0.3">
      <c r="B9" s="5" t="s">
        <v>64</v>
      </c>
      <c r="C9" s="5"/>
      <c r="D9" s="5"/>
      <c r="E9" s="5"/>
      <c r="F9" s="5"/>
      <c r="G9" s="5"/>
      <c r="H9" s="5"/>
      <c r="I9" s="5"/>
    </row>
    <row r="10" spans="2:9" ht="30" customHeight="1" x14ac:dyDescent="0.3">
      <c r="B10" s="4" t="s">
        <v>104</v>
      </c>
      <c r="C10" s="4"/>
      <c r="D10" s="4"/>
      <c r="E10" s="4"/>
      <c r="F10" s="4"/>
      <c r="G10" s="4"/>
      <c r="H10" s="4"/>
      <c r="I10" s="4"/>
    </row>
    <row r="11" spans="2:9" ht="30" customHeight="1" x14ac:dyDescent="0.3">
      <c r="B11" s="4" t="s">
        <v>105</v>
      </c>
      <c r="C11" s="4"/>
      <c r="D11" s="4"/>
      <c r="E11" s="4"/>
      <c r="F11" s="4"/>
      <c r="G11" s="4"/>
      <c r="H11" s="4"/>
      <c r="I11" s="4"/>
    </row>
    <row r="12" spans="2:9" ht="30" customHeight="1" x14ac:dyDescent="0.3">
      <c r="B12" s="4" t="s">
        <v>106</v>
      </c>
      <c r="C12" s="4"/>
      <c r="D12" s="4"/>
      <c r="E12" s="4"/>
      <c r="F12" s="4"/>
      <c r="G12" s="4"/>
      <c r="H12" s="4"/>
      <c r="I12" s="4"/>
    </row>
  </sheetData>
  <mergeCells count="7">
    <mergeCell ref="B11:I11"/>
    <mergeCell ref="B12:I12"/>
    <mergeCell ref="B1:I1"/>
    <mergeCell ref="B2:I2"/>
    <mergeCell ref="B7:H7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1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6" customWidth="1"/>
    <col min="3" max="3" width="40" customWidth="1"/>
    <col min="4" max="4" width="55" customWidth="1"/>
    <col min="5" max="5" width="18" customWidth="1"/>
    <col min="6" max="7" width="16" customWidth="1"/>
    <col min="8" max="8" width="18" customWidth="1"/>
    <col min="9" max="9" width="14" customWidth="1"/>
  </cols>
  <sheetData>
    <row r="1" spans="2:9" ht="24" customHeight="1" x14ac:dyDescent="0.3">
      <c r="B1" s="8" t="s">
        <v>40</v>
      </c>
      <c r="C1" s="8"/>
      <c r="D1" s="8"/>
      <c r="E1" s="8"/>
      <c r="F1" s="8"/>
      <c r="G1" s="8"/>
      <c r="H1" s="8"/>
      <c r="I1" s="8"/>
    </row>
    <row r="2" spans="2:9" ht="21.75" customHeight="1" x14ac:dyDescent="0.3">
      <c r="B2" s="7" t="s">
        <v>107</v>
      </c>
      <c r="C2" s="7"/>
      <c r="D2" s="7"/>
      <c r="E2" s="7"/>
      <c r="F2" s="7"/>
      <c r="G2" s="7"/>
      <c r="H2" s="7"/>
      <c r="I2" s="7"/>
    </row>
    <row r="3" spans="2:9" ht="39.75" customHeight="1" x14ac:dyDescent="0.3">
      <c r="B3" s="14" t="s">
        <v>42</v>
      </c>
      <c r="C3" s="14" t="s">
        <v>108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2:9" ht="60" customHeight="1" x14ac:dyDescent="0.3">
      <c r="B4" s="15">
        <v>1</v>
      </c>
      <c r="C4" s="16" t="s">
        <v>109</v>
      </c>
      <c r="D4" s="16" t="s">
        <v>110</v>
      </c>
      <c r="E4" s="15" t="s">
        <v>52</v>
      </c>
      <c r="F4" s="15" t="s">
        <v>53</v>
      </c>
      <c r="G4" s="15" t="s">
        <v>111</v>
      </c>
      <c r="H4" s="15" t="s">
        <v>59</v>
      </c>
      <c r="I4" s="17">
        <f>(IF(E4="Sin importancia",1,IF(E4="Poco importante",2,IF(E4="Indiferente",3,IF(E4="Importante",4,IF(E4="Muy importante",5,0)))))*IF(G4="Muy Débil",1,IF(G4="Débil",2,IF(G4="Promedio",3,IF(G4="Fuerte",4,IF(G4="Muy Fuerte",5,0)))))*IF(H4="Mucho Peor",1,IF(H4="Peor",2,IF(H4="Indiferente",3,IF(H4="Mejora",4,IF(H4="Mejora Mucho",5,0))))))</f>
        <v>48</v>
      </c>
    </row>
    <row r="5" spans="2:9" ht="60" customHeight="1" x14ac:dyDescent="0.3">
      <c r="B5" s="15">
        <v>2</v>
      </c>
      <c r="C5" s="16" t="s">
        <v>112</v>
      </c>
      <c r="D5" s="16" t="s">
        <v>113</v>
      </c>
      <c r="E5" s="15" t="s">
        <v>55</v>
      </c>
      <c r="F5" s="15" t="s">
        <v>53</v>
      </c>
      <c r="G5" s="15" t="s">
        <v>114</v>
      </c>
      <c r="H5" s="15" t="s">
        <v>75</v>
      </c>
      <c r="I5" s="17">
        <f>(IF(E5="Sin importancia",1,IF(E5="Poco importante",2,IF(E5="Indiferente",3,IF(E5="Importante",4,IF(E5="Muy importante",5,0)))))*IF(G5="Muy Débil",1,IF(G5="Débil",2,IF(G5="Promedio",3,IF(G5="Fuerte",4,IF(G5="Muy Fuerte",5,0)))))*IF(H5="Mucho Peor",1,IF(H5="Peor",2,IF(H5="Indiferente",3,IF(H5="Mejora",4,IF(H5="Mejora Mucho",5,0))))))</f>
        <v>12</v>
      </c>
    </row>
    <row r="6" spans="2:9" ht="60" customHeight="1" x14ac:dyDescent="0.3">
      <c r="B6" s="15">
        <v>3</v>
      </c>
      <c r="C6" s="16" t="s">
        <v>115</v>
      </c>
      <c r="D6" s="16" t="s">
        <v>116</v>
      </c>
      <c r="E6" s="15" t="s">
        <v>52</v>
      </c>
      <c r="F6" s="15" t="s">
        <v>53</v>
      </c>
      <c r="G6" s="15" t="s">
        <v>111</v>
      </c>
      <c r="H6" s="15" t="s">
        <v>75</v>
      </c>
      <c r="I6" s="17">
        <f>(IF(E6="Sin importancia",1,IF(E6="Poco importante",2,IF(E6="Indiferente",3,IF(E6="Importante",4,IF(E6="Muy importante",5,0)))))*IF(G6="Muy Débil",1,IF(G6="Débil",2,IF(G6="Promedio",3,IF(G6="Fuerte",4,IF(G6="Muy Fuerte",5,0)))))*IF(H6="Mucho Peor",1,IF(H6="Peor",2,IF(H6="Indiferente",3,IF(H6="Mejora",4,IF(H6="Mejora Mucho",5,0))))))</f>
        <v>24</v>
      </c>
    </row>
    <row r="7" spans="2:9" ht="21.75" customHeight="1" x14ac:dyDescent="0.3">
      <c r="B7" s="6" t="s">
        <v>117</v>
      </c>
      <c r="C7" s="6"/>
      <c r="D7" s="6"/>
      <c r="E7" s="6"/>
      <c r="F7" s="6"/>
      <c r="G7" s="6"/>
      <c r="H7" s="6"/>
      <c r="I7" s="12">
        <f>SUM(I4:I6)</f>
        <v>84</v>
      </c>
    </row>
    <row r="9" spans="2:9" x14ac:dyDescent="0.3">
      <c r="B9" s="5" t="s">
        <v>64</v>
      </c>
      <c r="C9" s="5"/>
      <c r="D9" s="5"/>
      <c r="E9" s="5"/>
      <c r="F9" s="5"/>
      <c r="G9" s="5"/>
      <c r="H9" s="5"/>
      <c r="I9" s="5"/>
    </row>
    <row r="10" spans="2:9" ht="30" customHeight="1" x14ac:dyDescent="0.3">
      <c r="B10" s="4" t="s">
        <v>118</v>
      </c>
      <c r="C10" s="4"/>
      <c r="D10" s="4"/>
      <c r="E10" s="4"/>
      <c r="F10" s="4"/>
      <c r="G10" s="4"/>
      <c r="H10" s="4"/>
      <c r="I10" s="4"/>
    </row>
    <row r="11" spans="2:9" ht="30" customHeight="1" x14ac:dyDescent="0.3">
      <c r="B11" s="4" t="s">
        <v>119</v>
      </c>
      <c r="C11" s="4"/>
      <c r="D11" s="4"/>
      <c r="E11" s="4"/>
      <c r="F11" s="4"/>
      <c r="G11" s="4"/>
      <c r="H11" s="4"/>
      <c r="I11" s="4"/>
    </row>
  </sheetData>
  <mergeCells count="6">
    <mergeCell ref="B11:I11"/>
    <mergeCell ref="B1:I1"/>
    <mergeCell ref="B2:I2"/>
    <mergeCell ref="B7:H7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3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6" customWidth="1"/>
    <col min="3" max="3" width="40" customWidth="1"/>
    <col min="4" max="4" width="55" customWidth="1"/>
    <col min="5" max="5" width="18" customWidth="1"/>
    <col min="6" max="7" width="16" customWidth="1"/>
    <col min="8" max="8" width="18" customWidth="1"/>
    <col min="9" max="9" width="14" customWidth="1"/>
  </cols>
  <sheetData>
    <row r="1" spans="2:9" ht="24" customHeight="1" x14ac:dyDescent="0.3">
      <c r="B1" s="8" t="s">
        <v>40</v>
      </c>
      <c r="C1" s="8"/>
      <c r="D1" s="8"/>
      <c r="E1" s="8"/>
      <c r="F1" s="8"/>
      <c r="G1" s="8"/>
      <c r="H1" s="8"/>
      <c r="I1" s="8"/>
    </row>
    <row r="2" spans="2:9" ht="21.75" customHeight="1" x14ac:dyDescent="0.3">
      <c r="B2" s="7" t="s">
        <v>120</v>
      </c>
      <c r="C2" s="7"/>
      <c r="D2" s="7"/>
      <c r="E2" s="7"/>
      <c r="F2" s="7"/>
      <c r="G2" s="7"/>
      <c r="H2" s="7"/>
      <c r="I2" s="7"/>
    </row>
    <row r="3" spans="2:9" ht="39.75" customHeight="1" x14ac:dyDescent="0.3">
      <c r="B3" s="14" t="s">
        <v>42</v>
      </c>
      <c r="C3" s="14" t="s">
        <v>121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</row>
    <row r="4" spans="2:9" ht="60" customHeight="1" x14ac:dyDescent="0.3">
      <c r="B4" s="15">
        <v>1</v>
      </c>
      <c r="C4" s="16" t="s">
        <v>122</v>
      </c>
      <c r="D4" s="16" t="s">
        <v>123</v>
      </c>
      <c r="E4" s="15" t="s">
        <v>58</v>
      </c>
      <c r="F4" s="15" t="s">
        <v>74</v>
      </c>
      <c r="G4" s="15" t="s">
        <v>62</v>
      </c>
      <c r="H4" s="15" t="s">
        <v>59</v>
      </c>
      <c r="I4" s="17">
        <f>(IF(E4="Sin importancia",1,IF(E4="Poco importante",2,IF(E4="Indiferente",3,IF(E4="Importante",4,IF(E4="Muy importante",5,0)))))*IF(G4="Muy Débil",1,IF(G4="Débil",2,IF(G4="Promedio",3,IF(G4="Fuerte",4,IF(G4="Muy Fuerte",5,0)))))*IF(H4="Mucho Peor",1,IF(H4="Peor",2,IF(H4="Indiferente",3,IF(H4="Mejora",4,IF(H4="Mejora Mucho",5,0))))))</f>
        <v>100</v>
      </c>
    </row>
    <row r="5" spans="2:9" ht="60" customHeight="1" x14ac:dyDescent="0.3">
      <c r="B5" s="15">
        <v>2</v>
      </c>
      <c r="C5" s="16" t="s">
        <v>124</v>
      </c>
      <c r="D5" s="16" t="s">
        <v>125</v>
      </c>
      <c r="E5" s="15" t="s">
        <v>58</v>
      </c>
      <c r="F5" s="15" t="s">
        <v>53</v>
      </c>
      <c r="G5" s="15" t="s">
        <v>62</v>
      </c>
      <c r="H5" s="15" t="s">
        <v>75</v>
      </c>
      <c r="I5" s="17">
        <f>(IF(E5="Sin importancia",1,IF(E5="Poco importante",2,IF(E5="Indiferente",3,IF(E5="Importante",4,IF(E5="Muy importante",5,0)))))*IF(G5="Muy Débil",1,IF(G5="Débil",2,IF(G5="Promedio",3,IF(G5="Fuerte",4,IF(G5="Muy Fuerte",5,0)))))*IF(H5="Mucho Peor",1,IF(H5="Peor",2,IF(H5="Indiferente",3,IF(H5="Mejora",4,IF(H5="Mejora Mucho",5,0))))))</f>
        <v>50</v>
      </c>
    </row>
    <row r="6" spans="2:9" ht="60" customHeight="1" x14ac:dyDescent="0.3">
      <c r="B6" s="15">
        <v>3</v>
      </c>
      <c r="C6" s="16" t="s">
        <v>126</v>
      </c>
      <c r="D6" s="16" t="s">
        <v>127</v>
      </c>
      <c r="E6" s="15" t="s">
        <v>58</v>
      </c>
      <c r="F6" s="15" t="s">
        <v>53</v>
      </c>
      <c r="G6" s="15" t="s">
        <v>54</v>
      </c>
      <c r="H6" s="15" t="s">
        <v>55</v>
      </c>
      <c r="I6" s="17">
        <f>(IF(E6="Sin importancia",1,IF(E6="Poco importante",2,IF(E6="Indiferente",3,IF(E6="Importante",4,IF(E6="Muy importante",5,0)))))*IF(G6="Muy Débil",1,IF(G6="Débil",2,IF(G6="Promedio",3,IF(G6="Fuerte",4,IF(G6="Muy Fuerte",5,0)))))*IF(H6="Mucho Peor",1,IF(H6="Peor",2,IF(H6="Indiferente",3,IF(H6="Mejora",4,IF(H6="Mejora Mucho",5,0))))))</f>
        <v>60</v>
      </c>
    </row>
    <row r="7" spans="2:9" ht="21.75" customHeight="1" x14ac:dyDescent="0.3">
      <c r="B7" s="6" t="s">
        <v>128</v>
      </c>
      <c r="C7" s="6"/>
      <c r="D7" s="6"/>
      <c r="E7" s="6"/>
      <c r="F7" s="6"/>
      <c r="G7" s="6"/>
      <c r="H7" s="6"/>
      <c r="I7" s="12">
        <f>SUM(I4:I6)</f>
        <v>210</v>
      </c>
    </row>
    <row r="9" spans="2:9" x14ac:dyDescent="0.3">
      <c r="B9" s="5" t="s">
        <v>64</v>
      </c>
      <c r="C9" s="5"/>
      <c r="D9" s="5"/>
      <c r="E9" s="5"/>
      <c r="F9" s="5"/>
      <c r="G9" s="5"/>
      <c r="H9" s="5"/>
      <c r="I9" s="5"/>
    </row>
    <row r="10" spans="2:9" ht="30" customHeight="1" x14ac:dyDescent="0.3">
      <c r="B10" s="4" t="s">
        <v>129</v>
      </c>
      <c r="C10" s="4"/>
      <c r="D10" s="4"/>
      <c r="E10" s="4"/>
      <c r="F10" s="4"/>
      <c r="G10" s="4"/>
      <c r="H10" s="4"/>
      <c r="I10" s="4"/>
    </row>
    <row r="11" spans="2:9" ht="30" customHeight="1" x14ac:dyDescent="0.3">
      <c r="B11" s="4" t="s">
        <v>130</v>
      </c>
      <c r="C11" s="4"/>
      <c r="D11" s="4"/>
      <c r="E11" s="4"/>
      <c r="F11" s="4"/>
      <c r="G11" s="4"/>
      <c r="H11" s="4"/>
      <c r="I11" s="4"/>
    </row>
    <row r="12" spans="2:9" ht="30" customHeight="1" x14ac:dyDescent="0.3">
      <c r="B12" s="4" t="s">
        <v>131</v>
      </c>
      <c r="C12" s="4"/>
      <c r="D12" s="4"/>
      <c r="E12" s="4"/>
      <c r="F12" s="4"/>
      <c r="G12" s="4"/>
      <c r="H12" s="4"/>
      <c r="I12" s="4"/>
    </row>
    <row r="13" spans="2:9" ht="30" customHeight="1" x14ac:dyDescent="0.3">
      <c r="B13" s="4" t="s">
        <v>132</v>
      </c>
      <c r="C13" s="4"/>
      <c r="D13" s="4"/>
      <c r="E13" s="4"/>
      <c r="F13" s="4"/>
      <c r="G13" s="4"/>
      <c r="H13" s="4"/>
      <c r="I13" s="4"/>
    </row>
  </sheetData>
  <mergeCells count="8">
    <mergeCell ref="B11:I11"/>
    <mergeCell ref="B12:I12"/>
    <mergeCell ref="B13:I13"/>
    <mergeCell ref="B1:I1"/>
    <mergeCell ref="B2:I2"/>
    <mergeCell ref="B7:H7"/>
    <mergeCell ref="B9:I9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5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40" customWidth="1"/>
    <col min="3" max="3" width="12" customWidth="1"/>
    <col min="4" max="4" width="40" customWidth="1"/>
    <col min="5" max="5" width="12" customWidth="1"/>
    <col min="6" max="6" width="40" customWidth="1"/>
    <col min="7" max="7" width="12" customWidth="1"/>
    <col min="8" max="8" width="14" customWidth="1"/>
  </cols>
  <sheetData>
    <row r="1" spans="2:8" ht="25.5" customHeight="1" x14ac:dyDescent="0.3">
      <c r="B1" s="8" t="s">
        <v>133</v>
      </c>
      <c r="C1" s="8"/>
      <c r="D1" s="8"/>
      <c r="E1" s="8"/>
      <c r="F1" s="8"/>
      <c r="G1" s="8"/>
      <c r="H1" s="8"/>
    </row>
    <row r="3" spans="2:8" ht="15" customHeight="1" x14ac:dyDescent="0.3">
      <c r="B3" s="3" t="s">
        <v>134</v>
      </c>
      <c r="C3" s="3"/>
      <c r="D3" s="3" t="s">
        <v>135</v>
      </c>
      <c r="E3" s="3"/>
      <c r="F3" s="3" t="s">
        <v>136</v>
      </c>
      <c r="G3" s="3"/>
    </row>
    <row r="4" spans="2:8" x14ac:dyDescent="0.3">
      <c r="B4" s="18" t="s">
        <v>137</v>
      </c>
      <c r="C4" s="19">
        <f>SUM(F_Pol!I4:I6)</f>
        <v>228</v>
      </c>
      <c r="D4" s="18" t="s">
        <v>138</v>
      </c>
      <c r="E4" s="19">
        <f>SUM(F_Eco!I4:I6)</f>
        <v>290</v>
      </c>
      <c r="F4" s="18" t="s">
        <v>139</v>
      </c>
      <c r="G4" s="19">
        <f>SUM(F_Soc!I4:I6)</f>
        <v>289</v>
      </c>
    </row>
    <row r="5" spans="2:8" ht="39.75" customHeight="1" x14ac:dyDescent="0.3">
      <c r="B5" s="16" t="str">
        <f>F_Pol!C4</f>
        <v>Estabilidad política y su impacto en regulaciones de eventos masivos</v>
      </c>
      <c r="C5" s="17">
        <f>F_Pol!I4</f>
        <v>48</v>
      </c>
      <c r="D5" s="16" t="str">
        <f>F_Eco!C4</f>
        <v>Crecimiento del mercado de eventos en Colombia (USD 6,7B en 2025 → proyección USD 17,1B en 2035, CAGR 9,9%)</v>
      </c>
      <c r="E5" s="17">
        <f>F_Eco!I4</f>
        <v>125</v>
      </c>
      <c r="F5" s="16" t="str">
        <f>F_Soc!C4</f>
        <v>Creciente demanda de experiencias en vivo y consumo experiencial post-pandemia</v>
      </c>
      <c r="G5" s="17">
        <f>F_Soc!I4</f>
        <v>125</v>
      </c>
    </row>
    <row r="6" spans="2:8" ht="39.75" customHeight="1" x14ac:dyDescent="0.3">
      <c r="B6" s="16" t="str">
        <f>F_Pol!C5</f>
        <v>Políticas de fomento a la industria cultural y creativa (Ministerio de Cultura)</v>
      </c>
      <c r="C6" s="17">
        <f>F_Pol!I5</f>
        <v>80</v>
      </c>
      <c r="D6" s="16" t="str">
        <f>F_Eco!C5</f>
        <v>Inflación anual del 6,14% (junio 2026) y desaceleración del gasto de hogares</v>
      </c>
      <c r="E6" s="17">
        <f>F_Eco!I5</f>
        <v>40</v>
      </c>
      <c r="F6" s="16" t="str">
        <f>F_Soc!C5</f>
        <v>Preferencia de compra digital de boletas en jóvenes y clase media urbana</v>
      </c>
      <c r="G6" s="17">
        <f>F_Soc!I5</f>
        <v>100</v>
      </c>
    </row>
    <row r="7" spans="2:8" ht="39.75" customHeight="1" x14ac:dyDescent="0.3">
      <c r="B7" s="16" t="str">
        <f>F_Pol!C6</f>
        <v>Regulación gubernamental sobre permisos, aforos y logística de eventos públicos</v>
      </c>
      <c r="C7" s="17">
        <f>F_Pol!I6</f>
        <v>100</v>
      </c>
      <c r="D7" s="16" t="str">
        <f>F_Eco!C6</f>
        <v>Sector Artes, Entretenimiento y Recreación creció 11,5% en 2025 (DANE) — mayor avance sectorial del país</v>
      </c>
      <c r="E7" s="17">
        <f>F_Eco!I6</f>
        <v>125</v>
      </c>
      <c r="F7" s="16" t="str">
        <f>F_Soc!C6</f>
        <v>Ciudades intermedias (Medellín, Barranquilla, Cali) consolidadas como destinos habituales de conciertos y eventos deportivos</v>
      </c>
      <c r="G7" s="17">
        <f>F_Soc!I6</f>
        <v>64</v>
      </c>
    </row>
    <row r="9" spans="2:8" ht="15" customHeight="1" x14ac:dyDescent="0.3">
      <c r="B9" s="3" t="s">
        <v>140</v>
      </c>
      <c r="C9" s="3"/>
      <c r="D9" s="3" t="s">
        <v>141</v>
      </c>
      <c r="E9" s="3"/>
      <c r="F9" s="3" t="s">
        <v>142</v>
      </c>
      <c r="G9" s="3"/>
    </row>
    <row r="10" spans="2:8" x14ac:dyDescent="0.3">
      <c r="B10" s="18" t="s">
        <v>143</v>
      </c>
      <c r="C10" s="19">
        <f>SUM(F_Tec!I4:I6)</f>
        <v>305</v>
      </c>
      <c r="D10" s="18" t="s">
        <v>144</v>
      </c>
      <c r="E10" s="19">
        <f>SUM(F_Amb!I4:I6)</f>
        <v>84</v>
      </c>
      <c r="F10" s="18" t="s">
        <v>145</v>
      </c>
      <c r="G10" s="19">
        <f>SUM(F_Leg!I4:I6)</f>
        <v>210</v>
      </c>
    </row>
    <row r="11" spans="2:8" ht="39.75" customHeight="1" x14ac:dyDescent="0.3">
      <c r="B11" s="16" t="str">
        <f>F_Tec!C4</f>
        <v>Billeteras digitales (Nequi, Daviplata) representan el 29% del valor total de transacciones e-commerce en Colombia</v>
      </c>
      <c r="C11" s="17">
        <f>F_Tec!I4</f>
        <v>125</v>
      </c>
      <c r="D11" s="16" t="str">
        <f>F_Amb!C4</f>
        <v>Reducción de papel gracias a boletas digitales / QR frente a boletería física</v>
      </c>
      <c r="E11" s="17">
        <f>F_Amb!I4</f>
        <v>48</v>
      </c>
      <c r="F11" s="16" t="str">
        <f>F_Leg!C4</f>
        <v>Ley 2439 de 2024 — Modifica el Estatuto del Consumidor: obliga a reembolsos en e-commerce en 15 días calendario y a canales de PQRS con número de trazabilidad</v>
      </c>
      <c r="G11" s="17">
        <f>F_Leg!I4</f>
        <v>100</v>
      </c>
    </row>
    <row r="12" spans="2:8" ht="39.75" customHeight="1" x14ac:dyDescent="0.3">
      <c r="B12" s="16" t="str">
        <f>F_Tec!C5</f>
        <v>El código QR es el método usado en el 76% de pagos móviles en establecimientos comerciales</v>
      </c>
      <c r="C12" s="17">
        <f>F_Tec!I5</f>
        <v>100</v>
      </c>
      <c r="D12" s="16" t="str">
        <f>F_Amb!C5</f>
        <v>Presión creciente por reducir la huella de carbono de eventos masivos (transporte, iluminación, residuos)</v>
      </c>
      <c r="E12" s="17">
        <f>F_Amb!I5</f>
        <v>12</v>
      </c>
      <c r="F12" s="16" t="str">
        <f>F_Leg!C5</f>
        <v>Investigación abierta por la SIC contra Tuboleta (2026) por fallas en información al consumidor, derecho de retracto y PQRS</v>
      </c>
      <c r="G12" s="17">
        <f>F_Leg!I5</f>
        <v>50</v>
      </c>
    </row>
    <row r="13" spans="2:8" ht="39.75" customHeight="1" x14ac:dyDescent="0.3">
      <c r="B13" s="16" t="str">
        <f>F_Tec!C6</f>
        <v>Transferencias A2A (Bre-B) proyectadas al 41% del e-commerce colombiano para 2030</v>
      </c>
      <c r="C13" s="17">
        <f>F_Tec!I6</f>
        <v>80</v>
      </c>
      <c r="D13" s="16" t="str">
        <f>F_Amb!C6</f>
        <v>Riesgo operativo por eventos climáticos extremos (lluvias, olas de calor) que cancelan actividades al aire libre</v>
      </c>
      <c r="E13" s="17">
        <f>F_Amb!I6</f>
        <v>24</v>
      </c>
      <c r="F13" s="16" t="str">
        <f>F_Leg!C6</f>
        <v>Ley 1581 de 2012 (Habeas Data) — Régimen general de protección de datos personales</v>
      </c>
      <c r="G13" s="17">
        <f>F_Leg!I6</f>
        <v>60</v>
      </c>
    </row>
    <row r="15" spans="2:8" ht="25.5" customHeight="1" x14ac:dyDescent="0.3">
      <c r="B15" s="2" t="s">
        <v>146</v>
      </c>
      <c r="C15" s="2"/>
      <c r="D15" s="2"/>
      <c r="E15" s="2"/>
      <c r="F15" s="2"/>
      <c r="G15" s="20">
        <f>SUM(F_Pol!I4:I6)+SUM(F_Eco!I4:I6)+SUM(F_Soc!I4:I6)+SUM(F_Tec!I4:I6)+SUM(F_Amb!I4:I6)+SUM(F_Leg!I4:I6)</f>
        <v>1406</v>
      </c>
    </row>
  </sheetData>
  <mergeCells count="8">
    <mergeCell ref="B15:F15"/>
    <mergeCell ref="B1:H1"/>
    <mergeCell ref="B3:C3"/>
    <mergeCell ref="D3:E3"/>
    <mergeCell ref="F3:G3"/>
    <mergeCell ref="B9:C9"/>
    <mergeCell ref="D9:E9"/>
    <mergeCell ref="F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18"/>
  <sheetViews>
    <sheetView zoomScaleNormal="100" workbookViewId="0"/>
  </sheetViews>
  <sheetFormatPr baseColWidth="10" defaultColWidth="8.6640625" defaultRowHeight="14.4" x14ac:dyDescent="0.3"/>
  <cols>
    <col min="2" max="2" width="25" customWidth="1"/>
    <col min="3" max="4" width="20" customWidth="1"/>
  </cols>
  <sheetData>
    <row r="1" spans="2:4" ht="24" customHeight="1" x14ac:dyDescent="0.3">
      <c r="B1" s="8" t="s">
        <v>147</v>
      </c>
      <c r="C1" s="8"/>
      <c r="D1" s="8"/>
    </row>
    <row r="3" spans="2:4" x14ac:dyDescent="0.3">
      <c r="B3" s="14" t="s">
        <v>148</v>
      </c>
      <c r="C3" s="14" t="s">
        <v>149</v>
      </c>
      <c r="D3" s="14" t="s">
        <v>150</v>
      </c>
    </row>
    <row r="4" spans="2:4" x14ac:dyDescent="0.3">
      <c r="B4" s="21" t="s">
        <v>34</v>
      </c>
      <c r="C4" s="22">
        <f>SUM(F_Pol!I4:I6)/(SUM(F_Pol!I4:I6)+SUM(F_Eco!I4:I6)+SUM(F_Soc!I4:I6)+SUM(F_Tec!I4:I6)+SUM(F_Amb!I4:I6)+SUM(F_Leg!I4:I6))</f>
        <v>0.16216216216216217</v>
      </c>
      <c r="D4" s="17">
        <f>SUM(F_Pol!I4:I6)</f>
        <v>228</v>
      </c>
    </row>
    <row r="5" spans="2:4" x14ac:dyDescent="0.3">
      <c r="B5" s="21" t="s">
        <v>35</v>
      </c>
      <c r="C5" s="22">
        <f>SUM(F_Eco!I4:I6)/(SUM(F_Pol!I4:I6)+SUM(F_Eco!I4:I6)+SUM(F_Soc!I4:I6)+SUM(F_Tec!I4:I6)+SUM(F_Amb!I4:I6)+SUM(F_Leg!I4:I6))</f>
        <v>0.20625889046941678</v>
      </c>
      <c r="D5" s="17">
        <f>SUM(F_Eco!I4:I6)</f>
        <v>290</v>
      </c>
    </row>
    <row r="6" spans="2:4" x14ac:dyDescent="0.3">
      <c r="B6" s="21" t="s">
        <v>36</v>
      </c>
      <c r="C6" s="22">
        <f>SUM(F_Soc!I4:I6)/(SUM(F_Pol!I4:I6)+SUM(F_Eco!I4:I6)+SUM(F_Soc!I4:I6)+SUM(F_Tec!I4:I6)+SUM(F_Amb!I4:I6)+SUM(F_Leg!I4:I6))</f>
        <v>0.20554765291607396</v>
      </c>
      <c r="D6" s="17">
        <f>SUM(F_Soc!I4:I6)</f>
        <v>289</v>
      </c>
    </row>
    <row r="7" spans="2:4" x14ac:dyDescent="0.3">
      <c r="B7" s="21" t="s">
        <v>37</v>
      </c>
      <c r="C7" s="22">
        <f>SUM(F_Tec!I4:I6)/(SUM(F_Pol!I4:I6)+SUM(F_Eco!I4:I6)+SUM(F_Soc!I4:I6)+SUM(F_Tec!I4:I6)+SUM(F_Amb!I4:I6)+SUM(F_Leg!I4:I6))</f>
        <v>0.21692745376955902</v>
      </c>
      <c r="D7" s="17">
        <f>SUM(F_Tec!I4:I6)</f>
        <v>305</v>
      </c>
    </row>
    <row r="8" spans="2:4" x14ac:dyDescent="0.3">
      <c r="B8" s="21" t="s">
        <v>38</v>
      </c>
      <c r="C8" s="22">
        <f>SUM(F_Amb!I4:I6)/(SUM(F_Pol!I4:I6)+SUM(F_Eco!I4:I6)+SUM(F_Soc!I4:I6)+SUM(F_Tec!I4:I6)+SUM(F_Amb!I4:I6)+SUM(F_Leg!I4:I6))</f>
        <v>5.9743954480796585E-2</v>
      </c>
      <c r="D8" s="17">
        <f>SUM(F_Amb!I4:I6)</f>
        <v>84</v>
      </c>
    </row>
    <row r="9" spans="2:4" x14ac:dyDescent="0.3">
      <c r="B9" s="21" t="s">
        <v>39</v>
      </c>
      <c r="C9" s="22">
        <f>SUM(F_Leg!I4:I6)/(SUM(F_Pol!I4:I6)+SUM(F_Eco!I4:I6)+SUM(F_Soc!I4:I6)+SUM(F_Tec!I4:I6)+SUM(F_Amb!I4:I6)+SUM(F_Leg!I4:I6))</f>
        <v>0.14935988620199148</v>
      </c>
      <c r="D9" s="17">
        <f>SUM(F_Leg!I4:I6)</f>
        <v>210</v>
      </c>
    </row>
    <row r="10" spans="2:4" x14ac:dyDescent="0.3">
      <c r="B10" s="23" t="s">
        <v>151</v>
      </c>
      <c r="C10" s="24">
        <f>SUM(C4:C9)</f>
        <v>1</v>
      </c>
      <c r="D10" s="25">
        <f>SUM(D4:D9)</f>
        <v>1406</v>
      </c>
    </row>
    <row r="13" spans="2:4" ht="15" customHeight="1" x14ac:dyDescent="0.3">
      <c r="B13" s="7" t="s">
        <v>152</v>
      </c>
      <c r="C13" s="7"/>
      <c r="D13" s="7"/>
    </row>
    <row r="14" spans="2:4" ht="45" customHeight="1" x14ac:dyDescent="0.3">
      <c r="B14" s="1" t="s">
        <v>153</v>
      </c>
      <c r="C14" s="1"/>
      <c r="D14" s="1"/>
    </row>
    <row r="15" spans="2:4" ht="45" customHeight="1" x14ac:dyDescent="0.3">
      <c r="B15" s="1" t="s">
        <v>154</v>
      </c>
      <c r="C15" s="1"/>
      <c r="D15" s="1"/>
    </row>
    <row r="16" spans="2:4" ht="45" customHeight="1" x14ac:dyDescent="0.3">
      <c r="B16" s="1" t="s">
        <v>155</v>
      </c>
      <c r="C16" s="1"/>
      <c r="D16" s="1"/>
    </row>
    <row r="17" spans="2:4" ht="45" customHeight="1" x14ac:dyDescent="0.3">
      <c r="B17" s="1" t="s">
        <v>156</v>
      </c>
      <c r="C17" s="1"/>
      <c r="D17" s="1"/>
    </row>
    <row r="18" spans="2:4" ht="45" customHeight="1" x14ac:dyDescent="0.3">
      <c r="B18" s="1" t="s">
        <v>157</v>
      </c>
      <c r="C18" s="1"/>
      <c r="D18" s="1"/>
    </row>
  </sheetData>
  <mergeCells count="7">
    <mergeCell ref="B17:D17"/>
    <mergeCell ref="B18:D18"/>
    <mergeCell ref="B1:D1"/>
    <mergeCell ref="B13:D13"/>
    <mergeCell ref="B14:D14"/>
    <mergeCell ref="B15:D15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Instructivo</vt:lpstr>
      <vt:lpstr>Áreas</vt:lpstr>
      <vt:lpstr>F_Pol</vt:lpstr>
      <vt:lpstr>F_Eco</vt:lpstr>
      <vt:lpstr>F_Soc</vt:lpstr>
      <vt:lpstr>F_Tec</vt:lpstr>
      <vt:lpstr>F_Amb</vt:lpstr>
      <vt:lpstr>F_Leg</vt:lpstr>
      <vt:lpstr>Matriz PESTEL</vt:lpstr>
      <vt:lpstr>Rel_PESTEL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Eder Fabián Rodríguez Murillo</cp:lastModifiedBy>
  <cp:revision>0</cp:revision>
  <dcterms:created xsi:type="dcterms:W3CDTF">2026-08-06T16:47:01Z</dcterms:created>
  <dcterms:modified xsi:type="dcterms:W3CDTF">2026-09-02T16:16:22Z</dcterms:modified>
  <dc:language>en-US</dc:language>
</cp:coreProperties>
</file>