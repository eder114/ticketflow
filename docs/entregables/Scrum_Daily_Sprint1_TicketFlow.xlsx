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um Daily" sheetId="1" state="visible" r:id="rId1"/>
    <sheet xmlns:r="http://schemas.openxmlformats.org/officeDocument/2006/relationships" name="Burndown" sheetId="2" state="visible" r:id="rId2"/>
    <sheet xmlns:r="http://schemas.openxmlformats.org/officeDocument/2006/relationships" name="Impedimentos" sheetId="3" state="visible" r:id="rId3"/>
    <sheet xmlns:r="http://schemas.openxmlformats.org/officeDocument/2006/relationships" name="Resumen" sheetId="4" state="visible" r:id="rId4"/>
  </sheets>
  <definedNames>
    <definedName name="_xlnm._FilterDatabase" localSheetId="0" hidden="1">'Scrum Daily'!$A$4:$H$60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1">
    <font>
      <name val="Calibri"/>
      <family val="2"/>
      <color theme="1"/>
      <sz val="11"/>
      <scheme val="minor"/>
    </font>
    <font>
      <b val="1"/>
      <color rgb="00191C1E"/>
      <sz val="15"/>
    </font>
    <font>
      <i val="1"/>
      <color rgb="005A5868"/>
      <sz val="10"/>
    </font>
    <font>
      <b val="1"/>
      <color rgb="00493EE5"/>
      <sz val="10"/>
    </font>
    <font>
      <i val="1"/>
      <color rgb="005A5868"/>
      <sz val="9"/>
    </font>
    <font>
      <color rgb="00191C1E"/>
      <sz val="10"/>
    </font>
    <font>
      <color rgb="005A5868"/>
      <sz val="10"/>
    </font>
    <font>
      <b val="1"/>
      <color rgb="0016A34A"/>
      <sz val="10"/>
    </font>
    <font>
      <b val="1"/>
      <color rgb="00B45309"/>
      <sz val="10"/>
    </font>
    <font>
      <b val="1"/>
      <color rgb="00493EE5"/>
      <sz val="11"/>
    </font>
    <font>
      <b val="1"/>
      <color rgb="00191C1E"/>
    </font>
  </fonts>
  <fills count="5">
    <fill>
      <patternFill/>
    </fill>
    <fill>
      <patternFill patternType="gray125"/>
    </fill>
    <fill>
      <patternFill patternType="solid">
        <fgColor rgb="00EDECFC"/>
      </patternFill>
    </fill>
    <fill>
      <patternFill patternType="solid">
        <fgColor rgb="00F7F7FA"/>
      </patternFill>
    </fill>
    <fill>
      <patternFill patternType="solid">
        <fgColor rgb="00FFF8E6"/>
      </patternFill>
    </fill>
  </fills>
  <borders count="3">
    <border>
      <left/>
      <right/>
      <top/>
      <bottom/>
      <diagonal/>
    </border>
    <border>
      <left style="thin">
        <color rgb="00D9D8E0"/>
      </left>
      <right style="thin">
        <color rgb="00D9D8E0"/>
      </right>
      <top style="thin">
        <color rgb="00D9D8E0"/>
      </top>
      <bottom style="thin">
        <color rgb="00D9D8E0"/>
      </bottom>
    </border>
    <border>
      <left style="thin">
        <color rgb="00D9D8E0"/>
      </left>
      <right style="thin">
        <color rgb="00D9D8E0"/>
      </right>
      <top style="thin">
        <color rgb="00D9D8E0"/>
      </top>
      <bottom style="medium">
        <color rgb="00493EE5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9" fontId="5" fillId="0" borderId="1" applyAlignment="1" pivotButton="0" quotePrefix="0" xfId="0">
      <alignment horizontal="center" vertical="top"/>
    </xf>
    <xf numFmtId="165" fontId="5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top"/>
    </xf>
    <xf numFmtId="0" fontId="6" fillId="0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9" fontId="5" fillId="0" borderId="2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165" fontId="0" fillId="0" borderId="1" applyAlignment="1" pivotButton="0" quotePrefix="0" xfId="0">
      <alignment horizontal="center" vertical="top"/>
    </xf>
    <xf numFmtId="9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  <xf numFmtId="165" fontId="0" fillId="3" borderId="1" applyAlignment="1" pivotButton="0" quotePrefix="0" xfId="0">
      <alignment horizontal="center" vertical="top"/>
    </xf>
    <xf numFmtId="9" fontId="0" fillId="3" borderId="1" applyAlignment="1" pivotButton="0" quotePrefix="0" xfId="0">
      <alignment horizontal="center" vertical="top"/>
    </xf>
    <xf numFmtId="0" fontId="0" fillId="4" borderId="1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  <xf numFmtId="0" fontId="0" fillId="0" borderId="1" pivotButton="0" quotePrefix="0" xfId="0"/>
    <xf numFmtId="0" fontId="9" fillId="0" borderId="1" applyAlignment="1" pivotButton="0" quotePrefix="0" xfId="0">
      <alignment horizontal="center" vertical="top"/>
    </xf>
    <xf numFmtId="9" fontId="9" fillId="0" borderId="1" applyAlignment="1" pivotButton="0" quotePrefix="0" xfId="0">
      <alignment horizontal="center" vertical="top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· Sprint 1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'Burndown'!F4</f>
            </strRef>
          </tx>
          <spPr>
            <a:ln xmlns:a="http://schemas.openxmlformats.org/drawingml/2006/main" w="28000">
              <a:solidFill>
                <a:srgbClr val="493EE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'Burndown'!$A$5:$A$18</f>
            </numRef>
          </cat>
          <val>
            <numRef>
              <f>'Burndown'!$F$5:$F$18</f>
            </numRef>
          </val>
        </ser>
        <ser>
          <idx val="1"/>
          <order val="1"/>
          <tx>
            <strRef>
              <f>'Burndown'!G4</f>
            </strRef>
          </tx>
          <spPr>
            <a:ln xmlns:a="http://schemas.openxmlformats.org/drawingml/2006/main">
              <a:solidFill>
                <a:srgbClr val="A8A5B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'Burndown'!$A$5:$A$18</f>
            </numRef>
          </cat>
          <val>
            <numRef>
              <f>'Burndown'!$G$5:$G$18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Día hábil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Puntos pendientes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34" customWidth="1" min="4" max="4"/>
    <col width="34" customWidth="1" min="5" max="5"/>
    <col width="30" customWidth="1" min="6" max="6"/>
    <col width="30" customWidth="1" min="7" max="7"/>
    <col width="11" customWidth="1" min="8" max="8"/>
  </cols>
  <sheetData>
    <row r="1">
      <c r="A1" s="1" t="inlineStr">
        <is>
          <t>Scrum Daily · Sprint 1 · TicketFlow (SDGE)</t>
        </is>
      </c>
    </row>
    <row r="2">
      <c r="A2" s="2" t="inlineStr">
        <is>
          <t>9 – 28 de septiembre de 2026 · Reunión diaria de 15 minutos. Columnas blancas: salen de Jira. Columnas amarillas: las llena cada integrante con lo que dijo en la reunión.</t>
        </is>
      </c>
    </row>
    <row r="4" ht="32" customHeight="1">
      <c r="A4" s="3" t="inlineStr">
        <is>
          <t>Fecha</t>
        </is>
      </c>
      <c r="B4" s="3" t="inlineStr">
        <is>
          <t>Integrante</t>
        </is>
      </c>
      <c r="C4" s="3" t="inlineStr">
        <is>
          <t>Historia en curso (Jira)</t>
        </is>
      </c>
      <c r="D4" s="3" t="inlineStr">
        <is>
          <t>¿Qué hice ayer?</t>
        </is>
      </c>
      <c r="E4" s="3" t="inlineStr">
        <is>
          <t>¿Qué haré hoy?</t>
        </is>
      </c>
      <c r="F4" s="3" t="inlineStr">
        <is>
          <t>Impedimento</t>
        </is>
      </c>
      <c r="G4" s="3" t="inlineStr">
        <is>
          <t>Solución</t>
        </is>
      </c>
      <c r="H4" s="3" t="inlineStr">
        <is>
          <t>Avance del sprint</t>
        </is>
      </c>
    </row>
    <row r="5" ht="45" customHeight="1">
      <c r="A5" s="4" t="n">
        <v>46274</v>
      </c>
      <c r="B5" s="5" t="inlineStr">
        <is>
          <t>Eder</t>
        </is>
      </c>
      <c r="C5" s="6" t="inlineStr">
        <is>
          <t>SDGE-2 · Maquetación de la página de inicio
SDGE-3 · Encabezado con navegación y botones de sesión</t>
        </is>
      </c>
      <c r="D5" s="7" t="n"/>
      <c r="E5" s="7" t="n"/>
      <c r="F5" s="7" t="n"/>
      <c r="G5" s="7" t="n"/>
      <c r="H5" s="8">
        <f>Burndown!H5</f>
        <v/>
      </c>
    </row>
    <row r="6" ht="30" customHeight="1">
      <c r="A6" s="4" t="n">
        <v>46274</v>
      </c>
      <c r="B6" s="5" t="inlineStr">
        <is>
          <t>Eduardo</t>
        </is>
      </c>
      <c r="C6" s="6" t="inlineStr">
        <is>
          <t>SDGE-1 · Interfaz de inicio de sesión</t>
        </is>
      </c>
      <c r="D6" s="7" t="n"/>
      <c r="E6" s="7" t="n"/>
      <c r="F6" s="7" t="n"/>
      <c r="G6" s="7" t="n"/>
      <c r="H6" s="8">
        <f>Burndown!H5</f>
        <v/>
      </c>
    </row>
    <row r="7" ht="30" customHeight="1">
      <c r="A7" s="4" t="n">
        <v>46274</v>
      </c>
      <c r="B7" s="5" t="inlineStr">
        <is>
          <t>Jorge</t>
        </is>
      </c>
      <c r="C7" s="6" t="inlineStr">
        <is>
          <t>SDGE-12 · Hoja de estilos del sistema de diseño</t>
        </is>
      </c>
      <c r="D7" s="7" t="n"/>
      <c r="E7" s="7" t="n"/>
      <c r="F7" s="7" t="n"/>
      <c r="G7" s="7" t="n"/>
      <c r="H7" s="8">
        <f>Burndown!H5</f>
        <v/>
      </c>
    </row>
    <row r="8" ht="30" customHeight="1">
      <c r="A8" s="9" t="n">
        <v>46274</v>
      </c>
      <c r="B8" s="10" t="inlineStr">
        <is>
          <t>Samuel</t>
        </is>
      </c>
      <c r="C8" s="11" t="inlineStr">
        <is>
          <t>SDGE-6 · Interfaz de registro de administrador</t>
        </is>
      </c>
      <c r="D8" s="12" t="n"/>
      <c r="E8" s="12" t="n"/>
      <c r="F8" s="12" t="n"/>
      <c r="G8" s="12" t="n"/>
      <c r="H8" s="13">
        <f>Burndown!H5</f>
        <v/>
      </c>
    </row>
    <row r="9" ht="45" customHeight="1">
      <c r="A9" s="4" t="n">
        <v>46275</v>
      </c>
      <c r="B9" s="5" t="inlineStr">
        <is>
          <t>Eder</t>
        </is>
      </c>
      <c r="C9" s="6" t="inlineStr">
        <is>
          <t>SDGE-2 · Maquetación de la página de inicio
SDGE-3 · Encabezado con navegación y botones de sesión</t>
        </is>
      </c>
      <c r="D9" s="7" t="n"/>
      <c r="E9" s="7" t="n"/>
      <c r="F9" s="7" t="n"/>
      <c r="G9" s="7" t="n"/>
      <c r="H9" s="8">
        <f>Burndown!H6</f>
        <v/>
      </c>
    </row>
    <row r="10" ht="30" customHeight="1">
      <c r="A10" s="4" t="n">
        <v>46275</v>
      </c>
      <c r="B10" s="5" t="inlineStr">
        <is>
          <t>Eduardo</t>
        </is>
      </c>
      <c r="C10" s="6" t="inlineStr">
        <is>
          <t>SDGE-1 · Interfaz de inicio de sesión</t>
        </is>
      </c>
      <c r="D10" s="7" t="n"/>
      <c r="E10" s="7" t="n"/>
      <c r="F10" s="7" t="n"/>
      <c r="G10" s="7" t="n"/>
      <c r="H10" s="8">
        <f>Burndown!H6</f>
        <v/>
      </c>
    </row>
    <row r="11" ht="30" customHeight="1">
      <c r="A11" s="4" t="n">
        <v>46275</v>
      </c>
      <c r="B11" s="5" t="inlineStr">
        <is>
          <t>Jorge</t>
        </is>
      </c>
      <c r="C11" s="6" t="inlineStr">
        <is>
          <t>SDGE-12 · Hoja de estilos del sistema de diseño</t>
        </is>
      </c>
      <c r="D11" s="7" t="n"/>
      <c r="E11" s="7" t="n"/>
      <c r="F11" s="7" t="n"/>
      <c r="G11" s="7" t="n"/>
      <c r="H11" s="8">
        <f>Burndown!H6</f>
        <v/>
      </c>
    </row>
    <row r="12" ht="30" customHeight="1">
      <c r="A12" s="9" t="n">
        <v>46275</v>
      </c>
      <c r="B12" s="10" t="inlineStr">
        <is>
          <t>Samuel</t>
        </is>
      </c>
      <c r="C12" s="11" t="inlineStr">
        <is>
          <t>SDGE-6 · Interfaz de registro de administrador</t>
        </is>
      </c>
      <c r="D12" s="12" t="n"/>
      <c r="E12" s="12" t="n"/>
      <c r="F12" s="12" t="n"/>
      <c r="G12" s="12" t="n"/>
      <c r="H12" s="13">
        <f>Burndown!H6</f>
        <v/>
      </c>
    </row>
    <row r="13" ht="45" customHeight="1">
      <c r="A13" s="4" t="n">
        <v>46276</v>
      </c>
      <c r="B13" s="5" t="inlineStr">
        <is>
          <t>Eder</t>
        </is>
      </c>
      <c r="C13" s="6" t="inlineStr">
        <is>
          <t>SDGE-2 · Maquetación de la página de inicio
SDGE-4 · Sección hero con buscador de eventos</t>
        </is>
      </c>
      <c r="D13" s="7" t="n"/>
      <c r="E13" s="7" t="n"/>
      <c r="F13" s="7" t="n"/>
      <c r="G13" s="7" t="n"/>
      <c r="H13" s="8">
        <f>Burndown!H7</f>
        <v/>
      </c>
    </row>
    <row r="14" ht="30" customHeight="1">
      <c r="A14" s="4" t="n">
        <v>46276</v>
      </c>
      <c r="B14" s="5" t="inlineStr">
        <is>
          <t>Eduardo</t>
        </is>
      </c>
      <c r="C14" s="6" t="inlineStr">
        <is>
          <t>SDGE-7 · Interfaz de registro de cliente</t>
        </is>
      </c>
      <c r="D14" s="7" t="n"/>
      <c r="E14" s="7" t="n"/>
      <c r="F14" s="7" t="n"/>
      <c r="G14" s="7" t="n"/>
      <c r="H14" s="8">
        <f>Burndown!H7</f>
        <v/>
      </c>
    </row>
    <row r="15" ht="30" customHeight="1">
      <c r="A15" s="4" t="n">
        <v>46276</v>
      </c>
      <c r="B15" s="5" t="inlineStr">
        <is>
          <t>Jorge</t>
        </is>
      </c>
      <c r="C15" s="6" t="inlineStr">
        <is>
          <t>SDGE-12 · Hoja de estilos del sistema de diseño</t>
        </is>
      </c>
      <c r="D15" s="7" t="n"/>
      <c r="E15" s="7" t="n"/>
      <c r="F15" s="7" t="n"/>
      <c r="G15" s="7" t="n"/>
      <c r="H15" s="8">
        <f>Burndown!H7</f>
        <v/>
      </c>
    </row>
    <row r="16" ht="45" customHeight="1">
      <c r="A16" s="9" t="n">
        <v>46276</v>
      </c>
      <c r="B16" s="10" t="inlineStr">
        <is>
          <t>Samuel</t>
        </is>
      </c>
      <c r="C16" s="11" t="inlineStr">
        <is>
          <t>SDGE-8 · Validación de formularios en el navegador
SDGE-11 · Sección de eventos destacados y categorías</t>
        </is>
      </c>
      <c r="D16" s="12" t="n"/>
      <c r="E16" s="12" t="n"/>
      <c r="F16" s="12" t="n"/>
      <c r="G16" s="12" t="n"/>
      <c r="H16" s="13">
        <f>Burndown!H7</f>
        <v/>
      </c>
    </row>
    <row r="17" ht="45" customHeight="1">
      <c r="A17" s="4" t="n">
        <v>46279</v>
      </c>
      <c r="B17" s="5" t="inlineStr">
        <is>
          <t>Eder</t>
        </is>
      </c>
      <c r="C17" s="6" t="inlineStr">
        <is>
          <t>SDGE-2 · Maquetación de la página de inicio
SDGE-4 · Sección hero con buscador de eventos</t>
        </is>
      </c>
      <c r="D17" s="7" t="n"/>
      <c r="E17" s="7" t="n"/>
      <c r="F17" s="7" t="n"/>
      <c r="G17" s="7" t="n"/>
      <c r="H17" s="8">
        <f>Burndown!H8</f>
        <v/>
      </c>
    </row>
    <row r="18" ht="30" customHeight="1">
      <c r="A18" s="4" t="n">
        <v>46279</v>
      </c>
      <c r="B18" s="5" t="inlineStr">
        <is>
          <t>Eduardo</t>
        </is>
      </c>
      <c r="C18" s="6" t="inlineStr">
        <is>
          <t>SDGE-7 · Interfaz de registro de cliente</t>
        </is>
      </c>
      <c r="D18" s="7" t="n"/>
      <c r="E18" s="7" t="n"/>
      <c r="F18" s="7" t="n"/>
      <c r="G18" s="7" t="n"/>
      <c r="H18" s="8">
        <f>Burndown!H8</f>
        <v/>
      </c>
    </row>
    <row r="19" ht="30" customHeight="1">
      <c r="A19" s="4" t="n">
        <v>46279</v>
      </c>
      <c r="B19" s="5" t="inlineStr">
        <is>
          <t>Jorge</t>
        </is>
      </c>
      <c r="C19" s="6" t="inlineStr">
        <is>
          <t>Sin historia asignada</t>
        </is>
      </c>
      <c r="D19" s="7" t="n"/>
      <c r="E19" s="7" t="n"/>
      <c r="F19" s="7" t="n"/>
      <c r="G19" s="7" t="n"/>
      <c r="H19" s="8">
        <f>Burndown!H8</f>
        <v/>
      </c>
    </row>
    <row r="20" ht="45" customHeight="1">
      <c r="A20" s="9" t="n">
        <v>46279</v>
      </c>
      <c r="B20" s="10" t="inlineStr">
        <is>
          <t>Samuel</t>
        </is>
      </c>
      <c r="C20" s="11" t="inlineStr">
        <is>
          <t>SDGE-8 · Validación de formularios en el navegador
SDGE-11 · Sección de eventos destacados y categorías</t>
        </is>
      </c>
      <c r="D20" s="12" t="n"/>
      <c r="E20" s="12" t="n"/>
      <c r="F20" s="12" t="n"/>
      <c r="G20" s="12" t="n"/>
      <c r="H20" s="13">
        <f>Burndown!H8</f>
        <v/>
      </c>
    </row>
    <row r="21" ht="45" customHeight="1">
      <c r="A21" s="4" t="n">
        <v>46280</v>
      </c>
      <c r="B21" s="5" t="inlineStr">
        <is>
          <t>Eder</t>
        </is>
      </c>
      <c r="C21" s="6" t="inlineStr">
        <is>
          <t>SDGE-2 · Maquetación de la página de inicio
SDGE-4 · Sección hero con buscador de eventos</t>
        </is>
      </c>
      <c r="D21" s="7" t="n"/>
      <c r="E21" s="7" t="n"/>
      <c r="F21" s="7" t="n"/>
      <c r="G21" s="7" t="n"/>
      <c r="H21" s="8">
        <f>Burndown!H9</f>
        <v/>
      </c>
    </row>
    <row r="22" ht="30" customHeight="1">
      <c r="A22" s="4" t="n">
        <v>46280</v>
      </c>
      <c r="B22" s="5" t="inlineStr">
        <is>
          <t>Eduardo</t>
        </is>
      </c>
      <c r="C22" s="6" t="inlineStr">
        <is>
          <t>SDGE-7 · Interfaz de registro de cliente</t>
        </is>
      </c>
      <c r="D22" s="7" t="n"/>
      <c r="E22" s="7" t="n"/>
      <c r="F22" s="7" t="n"/>
      <c r="G22" s="7" t="n"/>
      <c r="H22" s="8">
        <f>Burndown!H9</f>
        <v/>
      </c>
    </row>
    <row r="23" ht="30" customHeight="1">
      <c r="A23" s="4" t="n">
        <v>46280</v>
      </c>
      <c r="B23" s="5" t="inlineStr">
        <is>
          <t>Jorge</t>
        </is>
      </c>
      <c r="C23" s="6" t="inlineStr">
        <is>
          <t>Sin historia asignada</t>
        </is>
      </c>
      <c r="D23" s="7" t="n"/>
      <c r="E23" s="7" t="n"/>
      <c r="F23" s="7" t="n"/>
      <c r="G23" s="7" t="n"/>
      <c r="H23" s="8">
        <f>Burndown!H9</f>
        <v/>
      </c>
    </row>
    <row r="24" ht="45" customHeight="1">
      <c r="A24" s="9" t="n">
        <v>46280</v>
      </c>
      <c r="B24" s="10" t="inlineStr">
        <is>
          <t>Samuel</t>
        </is>
      </c>
      <c r="C24" s="11" t="inlineStr">
        <is>
          <t>SDGE-8 · Validación de formularios en el navegador
SDGE-11 · Sección de eventos destacados y categorías</t>
        </is>
      </c>
      <c r="D24" s="12" t="n"/>
      <c r="E24" s="12" t="n"/>
      <c r="F24" s="12" t="n"/>
      <c r="G24" s="12" t="n"/>
      <c r="H24" s="13">
        <f>Burndown!H9</f>
        <v/>
      </c>
    </row>
    <row r="25" ht="45" customHeight="1">
      <c r="A25" s="4" t="n">
        <v>46281</v>
      </c>
      <c r="B25" s="5" t="inlineStr">
        <is>
          <t>Eder</t>
        </is>
      </c>
      <c r="C25" s="6" t="inlineStr">
        <is>
          <t>SDGE-2 · Maquetación de la página de inicio
SDGE-4 · Sección hero con buscador de eventos</t>
        </is>
      </c>
      <c r="D25" s="7" t="n"/>
      <c r="E25" s="7" t="n"/>
      <c r="F25" s="7" t="n"/>
      <c r="G25" s="7" t="n"/>
      <c r="H25" s="8">
        <f>Burndown!H10</f>
        <v/>
      </c>
    </row>
    <row r="26" ht="30" customHeight="1">
      <c r="A26" s="4" t="n">
        <v>46281</v>
      </c>
      <c r="B26" s="5" t="inlineStr">
        <is>
          <t>Eduardo</t>
        </is>
      </c>
      <c r="C26" s="6" t="inlineStr">
        <is>
          <t>SDGE-7 · Interfaz de registro de cliente</t>
        </is>
      </c>
      <c r="D26" s="7" t="n"/>
      <c r="E26" s="7" t="n"/>
      <c r="F26" s="7" t="n"/>
      <c r="G26" s="7" t="n"/>
      <c r="H26" s="8">
        <f>Burndown!H10</f>
        <v/>
      </c>
    </row>
    <row r="27" ht="30" customHeight="1">
      <c r="A27" s="4" t="n">
        <v>46281</v>
      </c>
      <c r="B27" s="5" t="inlineStr">
        <is>
          <t>Jorge</t>
        </is>
      </c>
      <c r="C27" s="6" t="inlineStr">
        <is>
          <t>Sin historia asignada</t>
        </is>
      </c>
      <c r="D27" s="7" t="n"/>
      <c r="E27" s="7" t="n"/>
      <c r="F27" s="7" t="n"/>
      <c r="G27" s="7" t="n"/>
      <c r="H27" s="8">
        <f>Burndown!H10</f>
        <v/>
      </c>
    </row>
    <row r="28" ht="45" customHeight="1">
      <c r="A28" s="9" t="n">
        <v>46281</v>
      </c>
      <c r="B28" s="10" t="inlineStr">
        <is>
          <t>Samuel</t>
        </is>
      </c>
      <c r="C28" s="11" t="inlineStr">
        <is>
          <t>SDGE-8 · Validación de formularios en el navegador
SDGE-11 · Sección de eventos destacados y categorías</t>
        </is>
      </c>
      <c r="D28" s="12" t="n"/>
      <c r="E28" s="12" t="n"/>
      <c r="F28" s="12" t="n"/>
      <c r="G28" s="12" t="n"/>
      <c r="H28" s="13">
        <f>Burndown!H10</f>
        <v/>
      </c>
    </row>
    <row r="29" ht="30" customHeight="1">
      <c r="A29" s="4" t="n">
        <v>46282</v>
      </c>
      <c r="B29" s="5" t="inlineStr">
        <is>
          <t>Eder</t>
        </is>
      </c>
      <c r="C29" s="6" t="inlineStr">
        <is>
          <t>SDGE-4 · Sección hero con buscador de eventos</t>
        </is>
      </c>
      <c r="D29" s="7" t="n"/>
      <c r="E29" s="7" t="n"/>
      <c r="F29" s="7" t="n"/>
      <c r="G29" s="7" t="n"/>
      <c r="H29" s="8">
        <f>Burndown!H11</f>
        <v/>
      </c>
    </row>
    <row r="30" ht="30" customHeight="1">
      <c r="A30" s="4" t="n">
        <v>46282</v>
      </c>
      <c r="B30" s="5" t="inlineStr">
        <is>
          <t>Eduardo</t>
        </is>
      </c>
      <c r="C30" s="6" t="inlineStr">
        <is>
          <t>SDGE-9 · Interfaz de registro de agente</t>
        </is>
      </c>
      <c r="D30" s="7" t="n"/>
      <c r="E30" s="7" t="n"/>
      <c r="F30" s="7" t="n"/>
      <c r="G30" s="7" t="n"/>
      <c r="H30" s="8">
        <f>Burndown!H11</f>
        <v/>
      </c>
    </row>
    <row r="31" ht="30" customHeight="1">
      <c r="A31" s="4" t="n">
        <v>46282</v>
      </c>
      <c r="B31" s="5" t="inlineStr">
        <is>
          <t>Jorge</t>
        </is>
      </c>
      <c r="C31" s="6" t="inlineStr">
        <is>
          <t>SDGE-10 · Ajuste responsive de las interfaces de registro</t>
        </is>
      </c>
      <c r="D31" s="7" t="n"/>
      <c r="E31" s="7" t="n"/>
      <c r="F31" s="7" t="n"/>
      <c r="G31" s="7" t="n"/>
      <c r="H31" s="8">
        <f>Burndown!H11</f>
        <v/>
      </c>
    </row>
    <row r="32" ht="30" customHeight="1">
      <c r="A32" s="9" t="n">
        <v>46282</v>
      </c>
      <c r="B32" s="10" t="inlineStr">
        <is>
          <t>Samuel</t>
        </is>
      </c>
      <c r="C32" s="11" t="inlineStr">
        <is>
          <t>SDGE-8 · Validación de formularios en el navegador</t>
        </is>
      </c>
      <c r="D32" s="12" t="n"/>
      <c r="E32" s="12" t="n"/>
      <c r="F32" s="12" t="n"/>
      <c r="G32" s="12" t="n"/>
      <c r="H32" s="13">
        <f>Burndown!H11</f>
        <v/>
      </c>
    </row>
    <row r="33" ht="30" customHeight="1">
      <c r="A33" s="4" t="n">
        <v>46283</v>
      </c>
      <c r="B33" s="5" t="inlineStr">
        <is>
          <t>Eder</t>
        </is>
      </c>
      <c r="C33" s="6" t="inlineStr">
        <is>
          <t>SDGE-4 · Sección hero con buscador de eventos</t>
        </is>
      </c>
      <c r="D33" s="7" t="n"/>
      <c r="E33" s="7" t="n"/>
      <c r="F33" s="7" t="n"/>
      <c r="G33" s="7" t="n"/>
      <c r="H33" s="8">
        <f>Burndown!H12</f>
        <v/>
      </c>
    </row>
    <row r="34" ht="30" customHeight="1">
      <c r="A34" s="4" t="n">
        <v>46283</v>
      </c>
      <c r="B34" s="5" t="inlineStr">
        <is>
          <t>Eduardo</t>
        </is>
      </c>
      <c r="C34" s="6" t="inlineStr">
        <is>
          <t>SDGE-9 · Interfaz de registro de agente</t>
        </is>
      </c>
      <c r="D34" s="7" t="n"/>
      <c r="E34" s="7" t="n"/>
      <c r="F34" s="7" t="n"/>
      <c r="G34" s="7" t="n"/>
      <c r="H34" s="8">
        <f>Burndown!H12</f>
        <v/>
      </c>
    </row>
    <row r="35" ht="30" customHeight="1">
      <c r="A35" s="4" t="n">
        <v>46283</v>
      </c>
      <c r="B35" s="5" t="inlineStr">
        <is>
          <t>Jorge</t>
        </is>
      </c>
      <c r="C35" s="6" t="inlineStr">
        <is>
          <t>SDGE-10 · Ajuste responsive de las interfaces de registro</t>
        </is>
      </c>
      <c r="D35" s="7" t="n"/>
      <c r="E35" s="7" t="n"/>
      <c r="F35" s="7" t="n"/>
      <c r="G35" s="7" t="n"/>
      <c r="H35" s="8">
        <f>Burndown!H12</f>
        <v/>
      </c>
    </row>
    <row r="36" ht="30" customHeight="1">
      <c r="A36" s="9" t="n">
        <v>46283</v>
      </c>
      <c r="B36" s="10" t="inlineStr">
        <is>
          <t>Samuel</t>
        </is>
      </c>
      <c r="C36" s="11" t="inlineStr">
        <is>
          <t>SDGE-8 · Validación de formularios en el navegador</t>
        </is>
      </c>
      <c r="D36" s="12" t="n"/>
      <c r="E36" s="12" t="n"/>
      <c r="F36" s="12" t="n"/>
      <c r="G36" s="12" t="n"/>
      <c r="H36" s="13">
        <f>Burndown!H12</f>
        <v/>
      </c>
    </row>
    <row r="37" ht="30" customHeight="1">
      <c r="A37" s="4" t="n">
        <v>46286</v>
      </c>
      <c r="B37" s="5" t="inlineStr">
        <is>
          <t>Eder</t>
        </is>
      </c>
      <c r="C37" s="6" t="inlineStr">
        <is>
          <t>SDGE-4 · Sección hero con buscador de eventos</t>
        </is>
      </c>
      <c r="D37" s="7" t="n"/>
      <c r="E37" s="7" t="n"/>
      <c r="F37" s="7" t="n"/>
      <c r="G37" s="7" t="n"/>
      <c r="H37" s="8">
        <f>Burndown!H13</f>
        <v/>
      </c>
    </row>
    <row r="38" ht="30" customHeight="1">
      <c r="A38" s="4" t="n">
        <v>46286</v>
      </c>
      <c r="B38" s="5" t="inlineStr">
        <is>
          <t>Eduardo</t>
        </is>
      </c>
      <c r="C38" s="6" t="inlineStr">
        <is>
          <t>SDGE-9 · Interfaz de registro de agente</t>
        </is>
      </c>
      <c r="D38" s="7" t="n"/>
      <c r="E38" s="7" t="n"/>
      <c r="F38" s="7" t="n"/>
      <c r="G38" s="7" t="n"/>
      <c r="H38" s="8">
        <f>Burndown!H13</f>
        <v/>
      </c>
    </row>
    <row r="39" ht="30" customHeight="1">
      <c r="A39" s="4" t="n">
        <v>46286</v>
      </c>
      <c r="B39" s="5" t="inlineStr">
        <is>
          <t>Jorge</t>
        </is>
      </c>
      <c r="C39" s="6" t="inlineStr">
        <is>
          <t>SDGE-10 · Ajuste responsive de las interfaces de registro</t>
        </is>
      </c>
      <c r="D39" s="7" t="n"/>
      <c r="E39" s="7" t="n"/>
      <c r="F39" s="7" t="n"/>
      <c r="G39" s="7" t="n"/>
      <c r="H39" s="8">
        <f>Burndown!H13</f>
        <v/>
      </c>
    </row>
    <row r="40" ht="30" customHeight="1">
      <c r="A40" s="9" t="n">
        <v>46286</v>
      </c>
      <c r="B40" s="10" t="inlineStr">
        <is>
          <t>Samuel</t>
        </is>
      </c>
      <c r="C40" s="11" t="inlineStr">
        <is>
          <t>SDGE-8 · Validación de formularios en el navegador</t>
        </is>
      </c>
      <c r="D40" s="12" t="n"/>
      <c r="E40" s="12" t="n"/>
      <c r="F40" s="12" t="n"/>
      <c r="G40" s="12" t="n"/>
      <c r="H40" s="13">
        <f>Burndown!H13</f>
        <v/>
      </c>
    </row>
    <row r="41" ht="30" customHeight="1">
      <c r="A41" s="4" t="n">
        <v>46287</v>
      </c>
      <c r="B41" s="5" t="inlineStr">
        <is>
          <t>Eder</t>
        </is>
      </c>
      <c r="C41" s="6" t="inlineStr">
        <is>
          <t>SDGE-21 · Consolidar la estructura del repositorio en GitHub</t>
        </is>
      </c>
      <c r="D41" s="7" t="n"/>
      <c r="E41" s="7" t="n"/>
      <c r="F41" s="7" t="n"/>
      <c r="G41" s="7" t="n"/>
      <c r="H41" s="8">
        <f>Burndown!H14</f>
        <v/>
      </c>
    </row>
    <row r="42" ht="30" customHeight="1">
      <c r="A42" s="4" t="n">
        <v>46287</v>
      </c>
      <c r="B42" s="5" t="inlineStr">
        <is>
          <t>Eduardo</t>
        </is>
      </c>
      <c r="C42" s="6" t="inlineStr">
        <is>
          <t>SDGE-26 · Documentar el Scrum Daily del Sprint 1</t>
        </is>
      </c>
      <c r="D42" s="7" t="n"/>
      <c r="E42" s="7" t="n"/>
      <c r="F42" s="7" t="n"/>
      <c r="G42" s="7" t="n"/>
      <c r="H42" s="8">
        <f>Burndown!H14</f>
        <v/>
      </c>
    </row>
    <row r="43" ht="45" customHeight="1">
      <c r="A43" s="4" t="n">
        <v>46287</v>
      </c>
      <c r="B43" s="5" t="inlineStr">
        <is>
          <t>Jorge</t>
        </is>
      </c>
      <c r="C43" s="6" t="inlineStr">
        <is>
          <t>SDGE-10 · Ajuste responsive de las interfaces de registro
SDGE-14 · Maquetación Mobile-First de la página de inicio</t>
        </is>
      </c>
      <c r="D43" s="7" t="n"/>
      <c r="E43" s="7" t="n"/>
      <c r="F43" s="7" t="n"/>
      <c r="G43" s="7" t="n"/>
      <c r="H43" s="8">
        <f>Burndown!H14</f>
        <v/>
      </c>
    </row>
    <row r="44" ht="30" customHeight="1">
      <c r="A44" s="9" t="n">
        <v>46287</v>
      </c>
      <c r="B44" s="10" t="inlineStr">
        <is>
          <t>Samuel</t>
        </is>
      </c>
      <c r="C44" s="11" t="inlineStr">
        <is>
          <t>Sin historia asignada</t>
        </is>
      </c>
      <c r="D44" s="12" t="n"/>
      <c r="E44" s="12" t="n"/>
      <c r="F44" s="12" t="n"/>
      <c r="G44" s="12" t="n"/>
      <c r="H44" s="13">
        <f>Burndown!H14</f>
        <v/>
      </c>
    </row>
    <row r="45" ht="30" customHeight="1">
      <c r="A45" s="4" t="n">
        <v>46288</v>
      </c>
      <c r="B45" s="5" t="inlineStr">
        <is>
          <t>Eder</t>
        </is>
      </c>
      <c r="C45" s="6" t="inlineStr">
        <is>
          <t>Sin historia asignada</t>
        </is>
      </c>
      <c r="D45" s="7" t="n"/>
      <c r="E45" s="7" t="n"/>
      <c r="F45" s="7" t="n"/>
      <c r="G45" s="7" t="n"/>
      <c r="H45" s="5" t="n"/>
    </row>
    <row r="46" ht="30" customHeight="1">
      <c r="A46" s="4" t="n">
        <v>46288</v>
      </c>
      <c r="B46" s="5" t="inlineStr">
        <is>
          <t>Eduardo</t>
        </is>
      </c>
      <c r="C46" s="6" t="inlineStr">
        <is>
          <t>SDGE-26 · Documentar el Scrum Daily del Sprint 1</t>
        </is>
      </c>
      <c r="D46" s="7" t="n"/>
      <c r="E46" s="7" t="n"/>
      <c r="F46" s="7" t="n"/>
      <c r="G46" s="7" t="n"/>
      <c r="H46" s="5" t="n"/>
    </row>
    <row r="47" ht="30" customHeight="1">
      <c r="A47" s="4" t="n">
        <v>46288</v>
      </c>
      <c r="B47" s="5" t="inlineStr">
        <is>
          <t>Jorge</t>
        </is>
      </c>
      <c r="C47" s="6" t="inlineStr">
        <is>
          <t>SDGE-10 · Ajuste responsive de las interfaces de registro</t>
        </is>
      </c>
      <c r="D47" s="7" t="n"/>
      <c r="E47" s="7" t="n"/>
      <c r="F47" s="7" t="n"/>
      <c r="G47" s="7" t="n"/>
      <c r="H47" s="5" t="n"/>
    </row>
    <row r="48" ht="30" customHeight="1">
      <c r="A48" s="9" t="n">
        <v>46288</v>
      </c>
      <c r="B48" s="10" t="inlineStr">
        <is>
          <t>Samuel</t>
        </is>
      </c>
      <c r="C48" s="11" t="inlineStr">
        <is>
          <t>Sin historia asignada</t>
        </is>
      </c>
      <c r="D48" s="12" t="n"/>
      <c r="E48" s="12" t="n"/>
      <c r="F48" s="12" t="n"/>
      <c r="G48" s="12" t="n"/>
      <c r="H48" s="10" t="n"/>
    </row>
    <row r="49" ht="30" customHeight="1">
      <c r="A49" s="4" t="n">
        <v>46289</v>
      </c>
      <c r="B49" s="5" t="inlineStr">
        <is>
          <t>Eder</t>
        </is>
      </c>
      <c r="C49" s="6" t="inlineStr">
        <is>
          <t>Sin historia asignada</t>
        </is>
      </c>
      <c r="D49" s="7" t="n"/>
      <c r="E49" s="7" t="n"/>
      <c r="F49" s="7" t="n"/>
      <c r="G49" s="7" t="n"/>
      <c r="H49" s="5" t="n"/>
    </row>
    <row r="50" ht="30" customHeight="1">
      <c r="A50" s="4" t="n">
        <v>46289</v>
      </c>
      <c r="B50" s="5" t="inlineStr">
        <is>
          <t>Eduardo</t>
        </is>
      </c>
      <c r="C50" s="6" t="inlineStr">
        <is>
          <t>SDGE-26 · Documentar el Scrum Daily del Sprint 1</t>
        </is>
      </c>
      <c r="D50" s="7" t="n"/>
      <c r="E50" s="7" t="n"/>
      <c r="F50" s="7" t="n"/>
      <c r="G50" s="7" t="n"/>
      <c r="H50" s="5" t="n"/>
    </row>
    <row r="51" ht="30" customHeight="1">
      <c r="A51" s="4" t="n">
        <v>46289</v>
      </c>
      <c r="B51" s="5" t="inlineStr">
        <is>
          <t>Jorge</t>
        </is>
      </c>
      <c r="C51" s="6" t="inlineStr">
        <is>
          <t>SDGE-10 · Ajuste responsive de las interfaces de registro</t>
        </is>
      </c>
      <c r="D51" s="7" t="n"/>
      <c r="E51" s="7" t="n"/>
      <c r="F51" s="7" t="n"/>
      <c r="G51" s="7" t="n"/>
      <c r="H51" s="5" t="n"/>
    </row>
    <row r="52" ht="30" customHeight="1">
      <c r="A52" s="9" t="n">
        <v>46289</v>
      </c>
      <c r="B52" s="10" t="inlineStr">
        <is>
          <t>Samuel</t>
        </is>
      </c>
      <c r="C52" s="11" t="inlineStr">
        <is>
          <t>Sin historia asignada</t>
        </is>
      </c>
      <c r="D52" s="12" t="n"/>
      <c r="E52" s="12" t="n"/>
      <c r="F52" s="12" t="n"/>
      <c r="G52" s="12" t="n"/>
      <c r="H52" s="10" t="n"/>
    </row>
    <row r="53" ht="30" customHeight="1">
      <c r="A53" s="4" t="n">
        <v>46290</v>
      </c>
      <c r="B53" s="5" t="inlineStr">
        <is>
          <t>Eder</t>
        </is>
      </c>
      <c r="C53" s="6" t="inlineStr">
        <is>
          <t>Sin historia asignada</t>
        </is>
      </c>
      <c r="D53" s="7" t="n"/>
      <c r="E53" s="7" t="n"/>
      <c r="F53" s="7" t="n"/>
      <c r="G53" s="7" t="n"/>
      <c r="H53" s="5" t="n"/>
    </row>
    <row r="54" ht="30" customHeight="1">
      <c r="A54" s="4" t="n">
        <v>46290</v>
      </c>
      <c r="B54" s="5" t="inlineStr">
        <is>
          <t>Eduardo</t>
        </is>
      </c>
      <c r="C54" s="6" t="inlineStr">
        <is>
          <t>SDGE-26 · Documentar el Scrum Daily del Sprint 1</t>
        </is>
      </c>
      <c r="D54" s="7" t="n"/>
      <c r="E54" s="7" t="n"/>
      <c r="F54" s="7" t="n"/>
      <c r="G54" s="7" t="n"/>
      <c r="H54" s="5" t="n"/>
    </row>
    <row r="55" ht="30" customHeight="1">
      <c r="A55" s="4" t="n">
        <v>46290</v>
      </c>
      <c r="B55" s="5" t="inlineStr">
        <is>
          <t>Jorge</t>
        </is>
      </c>
      <c r="C55" s="6" t="inlineStr">
        <is>
          <t>SDGE-10 · Ajuste responsive de las interfaces de registro</t>
        </is>
      </c>
      <c r="D55" s="7" t="n"/>
      <c r="E55" s="7" t="n"/>
      <c r="F55" s="7" t="n"/>
      <c r="G55" s="7" t="n"/>
      <c r="H55" s="5" t="n"/>
    </row>
    <row r="56" ht="30" customHeight="1">
      <c r="A56" s="9" t="n">
        <v>46290</v>
      </c>
      <c r="B56" s="10" t="inlineStr">
        <is>
          <t>Samuel</t>
        </is>
      </c>
      <c r="C56" s="11" t="inlineStr">
        <is>
          <t>Sin historia asignada</t>
        </is>
      </c>
      <c r="D56" s="12" t="n"/>
      <c r="E56" s="12" t="n"/>
      <c r="F56" s="12" t="n"/>
      <c r="G56" s="12" t="n"/>
      <c r="H56" s="10" t="n"/>
    </row>
    <row r="57" ht="30" customHeight="1">
      <c r="A57" s="4" t="n">
        <v>46293</v>
      </c>
      <c r="B57" s="5" t="inlineStr">
        <is>
          <t>Eder</t>
        </is>
      </c>
      <c r="C57" s="6" t="inlineStr">
        <is>
          <t>Sin historia asignada</t>
        </is>
      </c>
      <c r="D57" s="7" t="n"/>
      <c r="E57" s="7" t="n"/>
      <c r="F57" s="7" t="n"/>
      <c r="G57" s="7" t="n"/>
      <c r="H57" s="5" t="n"/>
    </row>
    <row r="58" ht="30" customHeight="1">
      <c r="A58" s="4" t="n">
        <v>46293</v>
      </c>
      <c r="B58" s="5" t="inlineStr">
        <is>
          <t>Eduardo</t>
        </is>
      </c>
      <c r="C58" s="6" t="inlineStr">
        <is>
          <t>SDGE-26 · Documentar el Scrum Daily del Sprint 1</t>
        </is>
      </c>
      <c r="D58" s="7" t="n"/>
      <c r="E58" s="7" t="n"/>
      <c r="F58" s="7" t="n"/>
      <c r="G58" s="7" t="n"/>
      <c r="H58" s="5" t="n"/>
    </row>
    <row r="59" ht="30" customHeight="1">
      <c r="A59" s="4" t="n">
        <v>46293</v>
      </c>
      <c r="B59" s="5" t="inlineStr">
        <is>
          <t>Jorge</t>
        </is>
      </c>
      <c r="C59" s="6" t="inlineStr">
        <is>
          <t>Sin historia asignada</t>
        </is>
      </c>
      <c r="D59" s="7" t="n"/>
      <c r="E59" s="7" t="n"/>
      <c r="F59" s="7" t="n"/>
      <c r="G59" s="7" t="n"/>
      <c r="H59" s="5" t="n"/>
    </row>
    <row r="60" ht="30" customHeight="1">
      <c r="A60" s="9" t="n">
        <v>46293</v>
      </c>
      <c r="B60" s="10" t="inlineStr">
        <is>
          <t>Samuel</t>
        </is>
      </c>
      <c r="C60" s="11" t="inlineStr">
        <is>
          <t>Sin historia asignada</t>
        </is>
      </c>
      <c r="D60" s="12" t="n"/>
      <c r="E60" s="12" t="n"/>
      <c r="F60" s="12" t="n"/>
      <c r="G60" s="12" t="n"/>
      <c r="H60" s="10" t="n"/>
    </row>
  </sheetData>
  <autoFilter ref="A4:H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Indicador de avance · Burndown del Sprint 1</t>
        </is>
      </c>
    </row>
    <row r="2">
      <c r="A2" s="2" t="inlineStr">
        <is>
          <t>Puntos pendientes al cierre de cada día hábil. Los puntos terminados salen de la fecha en que cada historia pasó a Finalizada en Jira. El 22/09 el alcance subió de 49 a 56 SP (SDGE-14, SDGE-21 y SDGE-26).</t>
        </is>
      </c>
    </row>
    <row r="4" ht="32" customHeight="1">
      <c r="A4" s="3" t="inlineStr">
        <is>
          <t>Día</t>
        </is>
      </c>
      <c r="B4" s="3" t="inlineStr">
        <is>
          <t>Fecha</t>
        </is>
      </c>
      <c r="C4" s="3" t="inlineStr">
        <is>
          <t>Alcance (SP)</t>
        </is>
      </c>
      <c r="D4" s="3" t="inlineStr">
        <is>
          <t>Terminados ese día (SP)</t>
        </is>
      </c>
      <c r="E4" s="3" t="inlineStr">
        <is>
          <t>Terminados acumulados (SP)</t>
        </is>
      </c>
      <c r="F4" s="3" t="inlineStr">
        <is>
          <t>Pendientes reales (SP)</t>
        </is>
      </c>
      <c r="G4" s="3" t="inlineStr">
        <is>
          <t>Pendientes ideales (SP)</t>
        </is>
      </c>
      <c r="H4" s="3" t="inlineStr">
        <is>
          <t>Avance del sprint</t>
        </is>
      </c>
    </row>
    <row r="5">
      <c r="A5" s="14" t="n">
        <v>1</v>
      </c>
      <c r="B5" s="15" t="n">
        <v>46274</v>
      </c>
      <c r="C5" s="14" t="n">
        <v>49</v>
      </c>
      <c r="D5" s="14" t="n">
        <v>0</v>
      </c>
      <c r="E5" s="14">
        <f>SUM($D$5:D5)</f>
        <v/>
      </c>
      <c r="F5" s="14">
        <f>C5-E5</f>
        <v/>
      </c>
      <c r="G5" s="14">
        <f>ROUND($C$5*(1-(A5-1)/13),1)</f>
        <v/>
      </c>
      <c r="H5" s="16">
        <f>E5/C5</f>
        <v/>
      </c>
    </row>
    <row r="6">
      <c r="A6" s="17" t="n">
        <v>2</v>
      </c>
      <c r="B6" s="18" t="n">
        <v>46275</v>
      </c>
      <c r="C6" s="17" t="n">
        <v>49</v>
      </c>
      <c r="D6" s="17" t="n">
        <v>0</v>
      </c>
      <c r="E6" s="17">
        <f>SUM($D$5:D6)</f>
        <v/>
      </c>
      <c r="F6" s="17">
        <f>C6-E6</f>
        <v/>
      </c>
      <c r="G6" s="17">
        <f>ROUND($C$5*(1-(A6-1)/13),1)</f>
        <v/>
      </c>
      <c r="H6" s="19">
        <f>E6/C6</f>
        <v/>
      </c>
    </row>
    <row r="7">
      <c r="A7" s="14" t="n">
        <v>3</v>
      </c>
      <c r="B7" s="15" t="n">
        <v>46276</v>
      </c>
      <c r="C7" s="14" t="n">
        <v>49</v>
      </c>
      <c r="D7" s="14" t="n">
        <v>0</v>
      </c>
      <c r="E7" s="14">
        <f>SUM($D$5:D7)</f>
        <v/>
      </c>
      <c r="F7" s="14">
        <f>C7-E7</f>
        <v/>
      </c>
      <c r="G7" s="14">
        <f>ROUND($C$5*(1-(A7-1)/13),1)</f>
        <v/>
      </c>
      <c r="H7" s="16">
        <f>E7/C7</f>
        <v/>
      </c>
    </row>
    <row r="8">
      <c r="A8" s="17" t="n">
        <v>4</v>
      </c>
      <c r="B8" s="18" t="n">
        <v>46279</v>
      </c>
      <c r="C8" s="17" t="n">
        <v>49</v>
      </c>
      <c r="D8" s="17" t="n">
        <v>14</v>
      </c>
      <c r="E8" s="17">
        <f>SUM($D$5:D8)</f>
        <v/>
      </c>
      <c r="F8" s="17">
        <f>C8-E8</f>
        <v/>
      </c>
      <c r="G8" s="17">
        <f>ROUND($C$5*(1-(A8-1)/13),1)</f>
        <v/>
      </c>
      <c r="H8" s="19">
        <f>E8/C8</f>
        <v/>
      </c>
    </row>
    <row r="9">
      <c r="A9" s="14" t="n">
        <v>5</v>
      </c>
      <c r="B9" s="15" t="n">
        <v>46280</v>
      </c>
      <c r="C9" s="14" t="n">
        <v>49</v>
      </c>
      <c r="D9" s="14" t="n">
        <v>0</v>
      </c>
      <c r="E9" s="14">
        <f>SUM($D$5:D9)</f>
        <v/>
      </c>
      <c r="F9" s="14">
        <f>C9-E9</f>
        <v/>
      </c>
      <c r="G9" s="14">
        <f>ROUND($C$5*(1-(A9-1)/13),1)</f>
        <v/>
      </c>
      <c r="H9" s="16">
        <f>E9/C9</f>
        <v/>
      </c>
    </row>
    <row r="10">
      <c r="A10" s="17" t="n">
        <v>6</v>
      </c>
      <c r="B10" s="18" t="n">
        <v>46281</v>
      </c>
      <c r="C10" s="17" t="n">
        <v>49</v>
      </c>
      <c r="D10" s="17" t="n">
        <v>0</v>
      </c>
      <c r="E10" s="17">
        <f>SUM($D$5:D10)</f>
        <v/>
      </c>
      <c r="F10" s="17">
        <f>C10-E10</f>
        <v/>
      </c>
      <c r="G10" s="17">
        <f>ROUND($C$5*(1-(A10-1)/13),1)</f>
        <v/>
      </c>
      <c r="H10" s="19">
        <f>E10/C10</f>
        <v/>
      </c>
    </row>
    <row r="11">
      <c r="A11" s="14" t="n">
        <v>7</v>
      </c>
      <c r="B11" s="15" t="n">
        <v>46282</v>
      </c>
      <c r="C11" s="14" t="n">
        <v>49</v>
      </c>
      <c r="D11" s="14" t="n">
        <v>0</v>
      </c>
      <c r="E11" s="14">
        <f>SUM($D$5:D11)</f>
        <v/>
      </c>
      <c r="F11" s="14">
        <f>C11-E11</f>
        <v/>
      </c>
      <c r="G11" s="14">
        <f>ROUND($C$5*(1-(A11-1)/13),1)</f>
        <v/>
      </c>
      <c r="H11" s="16">
        <f>E11/C11</f>
        <v/>
      </c>
    </row>
    <row r="12">
      <c r="A12" s="17" t="n">
        <v>8</v>
      </c>
      <c r="B12" s="18" t="n">
        <v>46283</v>
      </c>
      <c r="C12" s="17" t="n">
        <v>49</v>
      </c>
      <c r="D12" s="17" t="n">
        <v>15</v>
      </c>
      <c r="E12" s="17">
        <f>SUM($D$5:D12)</f>
        <v/>
      </c>
      <c r="F12" s="17">
        <f>C12-E12</f>
        <v/>
      </c>
      <c r="G12" s="17">
        <f>ROUND($C$5*(1-(A12-1)/13),1)</f>
        <v/>
      </c>
      <c r="H12" s="19">
        <f>E12/C12</f>
        <v/>
      </c>
    </row>
    <row r="13">
      <c r="A13" s="14" t="n">
        <v>9</v>
      </c>
      <c r="B13" s="15" t="n">
        <v>46286</v>
      </c>
      <c r="C13" s="14" t="n">
        <v>49</v>
      </c>
      <c r="D13" s="14" t="n">
        <v>0</v>
      </c>
      <c r="E13" s="14">
        <f>SUM($D$5:D13)</f>
        <v/>
      </c>
      <c r="F13" s="14">
        <f>C13-E13</f>
        <v/>
      </c>
      <c r="G13" s="14">
        <f>ROUND($C$5*(1-(A13-1)/13),1)</f>
        <v/>
      </c>
      <c r="H13" s="16">
        <f>E13/C13</f>
        <v/>
      </c>
    </row>
    <row r="14">
      <c r="A14" s="17" t="n">
        <v>10</v>
      </c>
      <c r="B14" s="18" t="n">
        <v>46287</v>
      </c>
      <c r="C14" s="17" t="n">
        <v>56</v>
      </c>
      <c r="D14" s="17" t="n">
        <v>18</v>
      </c>
      <c r="E14" s="17">
        <f>SUM($D$5:D14)</f>
        <v/>
      </c>
      <c r="F14" s="17">
        <f>C14-E14</f>
        <v/>
      </c>
      <c r="G14" s="17">
        <f>ROUND($C$5*(1-(A14-1)/13),1)</f>
        <v/>
      </c>
      <c r="H14" s="19">
        <f>E14/C14</f>
        <v/>
      </c>
    </row>
    <row r="15">
      <c r="A15" s="14" t="n">
        <v>11</v>
      </c>
      <c r="B15" s="15" t="n">
        <v>46288</v>
      </c>
      <c r="C15" s="14" t="n">
        <v>56</v>
      </c>
      <c r="D15" s="20" t="n"/>
      <c r="E15" s="20" t="n"/>
      <c r="F15" s="20" t="n"/>
      <c r="G15" s="14">
        <f>ROUND($C$5*(1-(A15-1)/13),1)</f>
        <v/>
      </c>
      <c r="H15" s="20" t="n"/>
    </row>
    <row r="16">
      <c r="A16" s="17" t="n">
        <v>12</v>
      </c>
      <c r="B16" s="18" t="n">
        <v>46289</v>
      </c>
      <c r="C16" s="17" t="n">
        <v>56</v>
      </c>
      <c r="D16" s="20" t="n"/>
      <c r="E16" s="20" t="n"/>
      <c r="F16" s="20" t="n"/>
      <c r="G16" s="17">
        <f>ROUND($C$5*(1-(A16-1)/13),1)</f>
        <v/>
      </c>
      <c r="H16" s="20" t="n"/>
    </row>
    <row r="17">
      <c r="A17" s="14" t="n">
        <v>13</v>
      </c>
      <c r="B17" s="15" t="n">
        <v>46290</v>
      </c>
      <c r="C17" s="14" t="n">
        <v>56</v>
      </c>
      <c r="D17" s="20" t="n"/>
      <c r="E17" s="20" t="n"/>
      <c r="F17" s="20" t="n"/>
      <c r="G17" s="14">
        <f>ROUND($C$5*(1-(A17-1)/13),1)</f>
        <v/>
      </c>
      <c r="H17" s="20" t="n"/>
    </row>
    <row r="18">
      <c r="A18" s="17" t="n">
        <v>14</v>
      </c>
      <c r="B18" s="18" t="n">
        <v>46293</v>
      </c>
      <c r="C18" s="17" t="n">
        <v>56</v>
      </c>
      <c r="D18" s="20" t="n"/>
      <c r="E18" s="20" t="n"/>
      <c r="F18" s="20" t="n"/>
      <c r="G18" s="17">
        <f>ROUND($C$5*(1-(A18-1)/13),1)</f>
        <v/>
      </c>
      <c r="H18" s="20" t="n"/>
    </row>
    <row r="20">
      <c r="A20" s="21" t="inlineStr">
        <is>
          <t>Celdas amarillas: días que aún no han pasado. Se llenan con los puntos que se terminen ese día.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46" customWidth="1" min="3" max="3"/>
    <col width="46" customWidth="1" min="4" max="4"/>
    <col width="11" customWidth="1" min="5" max="5"/>
    <col width="32" customWidth="1" min="6" max="6"/>
  </cols>
  <sheetData>
    <row r="1">
      <c r="A1" s="1" t="inlineStr">
        <is>
          <t>Impedimentos del Sprint 1 y su solución</t>
        </is>
      </c>
    </row>
    <row r="2">
      <c r="A2" s="2" t="inlineStr">
        <is>
          <t>Solo los que dejaron rastro verificable en Git, Jira o el README. Agreguen debajo los que salieron en las reuniones.</t>
        </is>
      </c>
    </row>
    <row r="4" ht="32" customHeight="1">
      <c r="A4" s="3" t="inlineStr">
        <is>
          <t>Fecha</t>
        </is>
      </c>
      <c r="B4" s="3" t="inlineStr">
        <is>
          <t>Integrante</t>
        </is>
      </c>
      <c r="C4" s="3" t="inlineStr">
        <is>
          <t>Impedimento</t>
        </is>
      </c>
      <c r="D4" s="3" t="inlineStr">
        <is>
          <t>Solución</t>
        </is>
      </c>
      <c r="E4" s="3" t="inlineStr">
        <is>
          <t>Estado</t>
        </is>
      </c>
      <c r="F4" s="3" t="inlineStr">
        <is>
          <t>Evidencia</t>
        </is>
      </c>
    </row>
    <row r="5" ht="44" customHeight="1">
      <c r="A5" s="5" t="inlineStr">
        <is>
          <t>Sprint 1</t>
        </is>
      </c>
      <c r="B5" s="5" t="inlineStr">
        <is>
          <t>Samuel</t>
        </is>
      </c>
      <c r="C5" s="22" t="inlineStr">
        <is>
          <t>Samuel no aparecía en el proyecto de Jira, así que sus historias no tenían responsable.</t>
        </is>
      </c>
      <c r="D5" s="22" t="inlineStr">
        <is>
          <t>Se le invitó al proyecto y se repartió el sprint entre los cuatro integrantes.</t>
        </is>
      </c>
      <c r="E5" s="23" t="inlineStr">
        <is>
          <t>Resuelto</t>
        </is>
      </c>
      <c r="F5" s="22" t="inlineStr">
        <is>
          <t>Jira: SDGE-6, SDGE-8 y SDGE-11 asignadas a Samuel</t>
        </is>
      </c>
    </row>
    <row r="6" ht="44" customHeight="1">
      <c r="A6" s="5" t="inlineStr">
        <is>
          <t>Sprint 1</t>
        </is>
      </c>
      <c r="B6" s="5" t="inlineStr">
        <is>
          <t>Samuel</t>
        </is>
      </c>
      <c r="C6" s="22" t="inlineStr">
        <is>
          <t>La pantalla de registro de administrador no existía en el diseño de Figma.</t>
        </is>
      </c>
      <c r="D6" s="22" t="inlineStr">
        <is>
          <t>Se diseñó sobre el mismo sistema de diseño, con código de invitación y correo institucional.</t>
        </is>
      </c>
      <c r="E6" s="23" t="inlineStr">
        <is>
          <t>Resuelto</t>
        </is>
      </c>
      <c r="F6" s="22" t="inlineStr">
        <is>
          <t>Jira SDGE-6 · README, nota sobre el registro de administrador</t>
        </is>
      </c>
    </row>
    <row r="7" ht="44" customHeight="1">
      <c r="A7" s="5" t="inlineStr">
        <is>
          <t>12/09/2026</t>
        </is>
      </c>
      <c r="B7" s="5" t="inlineStr">
        <is>
          <t>Eder</t>
        </is>
      </c>
      <c r="C7" s="22" t="inlineStr">
        <is>
          <t>GitHub rechazó el primer push por falta de permisos en la cuenta.</t>
        </is>
      </c>
      <c r="D7" s="22" t="inlineStr">
        <is>
          <t>Se corrigió el acceso de la cuenta al repositorio y se subió el Sprint 1.</t>
        </is>
      </c>
      <c r="E7" s="23" t="inlineStr">
        <is>
          <t>Resuelto</t>
        </is>
      </c>
      <c r="F7" s="22" t="inlineStr">
        <is>
          <t>Git: commit c2332cc</t>
        </is>
      </c>
    </row>
    <row r="8" ht="44" customHeight="1">
      <c r="A8" s="5" t="inlineStr">
        <is>
          <t>12/09/2026</t>
        </is>
      </c>
      <c r="B8" s="5" t="inlineStr">
        <is>
          <t>Todos</t>
        </is>
      </c>
      <c r="C8" s="22" t="inlineStr">
        <is>
          <t>Retroalimentación del profesor: los colores se confundían y sobraba espacio en blanco.</t>
        </is>
      </c>
      <c r="D8" s="22" t="inlineStr">
        <is>
          <t>Se unificó el color de las categorías y se redujo la separación entre secciones de 80 a 56 px.</t>
        </is>
      </c>
      <c r="E8" s="23" t="inlineStr">
        <is>
          <t>Resuelto</t>
        </is>
      </c>
      <c r="F8" s="22" t="inlineStr">
        <is>
          <t>Git: commits 65a306a y cbb30c9</t>
        </is>
      </c>
    </row>
    <row r="9" ht="44" customHeight="1">
      <c r="A9" s="5" t="inlineStr">
        <is>
          <t>22/09/2026</t>
        </is>
      </c>
      <c r="B9" s="5" t="inlineStr">
        <is>
          <t>Jorge</t>
        </is>
      </c>
      <c r="C9" s="22" t="inlineStr">
        <is>
          <t>La hoja de estilos estaba escrita para escritorio (max-width) y no cumplía con Mobile-First.</t>
        </is>
      </c>
      <c r="D9" s="22" t="inlineStr">
        <is>
          <t>Se creó SDGE-14 y se reescribió con estilos base de celular y min-width.</t>
        </is>
      </c>
      <c r="E9" s="23" t="inlineStr">
        <is>
          <t>Resuelto</t>
        </is>
      </c>
      <c r="F9" s="22" t="inlineStr">
        <is>
          <t>Jira SDGE-14 · Git: commit 111cd85</t>
        </is>
      </c>
    </row>
    <row r="10" ht="44" customHeight="1">
      <c r="A10" s="5" t="inlineStr">
        <is>
          <t>22/09/2026</t>
        </is>
      </c>
      <c r="B10" s="5" t="inlineStr">
        <is>
          <t>Jorge</t>
        </is>
      </c>
      <c r="C10" s="22" t="inlineStr">
        <is>
          <t>En el menú de celular, los enlaces y los botones se abrían uno encima del otro.</t>
        </is>
      </c>
      <c r="D10" s="22" t="inlineStr">
        <is>
          <t>El menú ahora se despliega en el flujo, debajo del logo.</t>
        </is>
      </c>
      <c r="E10" s="23" t="inlineStr">
        <is>
          <t>Resuelto</t>
        </is>
      </c>
      <c r="F10" s="22" t="inlineStr">
        <is>
          <t>Git: commit 111cd85</t>
        </is>
      </c>
    </row>
    <row r="11" ht="44" customHeight="1">
      <c r="A11" s="5" t="inlineStr">
        <is>
          <t>22/09/2026</t>
        </is>
      </c>
      <c r="B11" s="5" t="inlineStr">
        <is>
          <t>Samuel</t>
        </is>
      </c>
      <c r="C11" s="22" t="inlineStr">
        <is>
          <t>SDGE-11 tenía la fecha de inicio (17/09) después de la de vencimiento (16/09).</t>
        </is>
      </c>
      <c r="D11" s="22" t="inlineStr">
        <is>
          <t>Se corrigió a 11/09 – 16/09, como estaba en la planeación.</t>
        </is>
      </c>
      <c r="E11" s="23" t="inlineStr">
        <is>
          <t>Resuelto</t>
        </is>
      </c>
      <c r="F11" s="22" t="inlineStr">
        <is>
          <t>Jira SDGE-11</t>
        </is>
      </c>
    </row>
    <row r="12" ht="44" customHeight="1">
      <c r="A12" s="5" t="inlineStr">
        <is>
          <t>22/09/2026</t>
        </is>
      </c>
      <c r="B12" s="5" t="inlineStr">
        <is>
          <t>Eder</t>
        </is>
      </c>
      <c r="C12" s="22" t="inlineStr">
        <is>
          <t>Los compañeros todavía no son colaboradores del repositorio en GitHub.</t>
        </is>
      </c>
      <c r="D12" s="22" t="inlineStr">
        <is>
          <t>Invitarlos desde Settings → Collaborators.</t>
        </is>
      </c>
      <c r="E12" s="24" t="inlineStr">
        <is>
          <t>Pendiente</t>
        </is>
      </c>
      <c r="F12" s="22" t="inlineStr">
        <is>
          <t>Jira SDGE-24</t>
        </is>
      </c>
    </row>
    <row r="13">
      <c r="A13" s="20" t="n"/>
      <c r="B13" s="20" t="n"/>
      <c r="C13" s="20" t="n"/>
      <c r="D13" s="20" t="n"/>
      <c r="E13" s="20" t="n"/>
      <c r="F13" s="20" t="n"/>
    </row>
    <row r="14">
      <c r="A14" s="20" t="n"/>
      <c r="B14" s="20" t="n"/>
      <c r="C14" s="20" t="n"/>
      <c r="D14" s="20" t="n"/>
      <c r="E14" s="20" t="n"/>
      <c r="F14" s="20" t="n"/>
    </row>
    <row r="15">
      <c r="A15" s="20" t="n"/>
      <c r="B15" s="20" t="n"/>
      <c r="C15" s="20" t="n"/>
      <c r="D15" s="20" t="n"/>
      <c r="E15" s="20" t="n"/>
      <c r="F15" s="20" t="n"/>
    </row>
    <row r="16">
      <c r="A16" s="20" t="n"/>
      <c r="B16" s="20" t="n"/>
      <c r="C16" s="20" t="n"/>
      <c r="D16" s="20" t="n"/>
      <c r="E16" s="20" t="n"/>
      <c r="F16" s="20" t="n"/>
    </row>
    <row r="17">
      <c r="A17" s="20" t="n"/>
      <c r="B17" s="20" t="n"/>
      <c r="C17" s="20" t="n"/>
      <c r="D17" s="20" t="n"/>
      <c r="E17" s="20" t="n"/>
      <c r="F17" s="20" t="n"/>
    </row>
    <row r="18">
      <c r="A18" s="20" t="n"/>
      <c r="B18" s="20" t="n"/>
      <c r="C18" s="20" t="n"/>
      <c r="D18" s="20" t="n"/>
      <c r="E18" s="20" t="n"/>
      <c r="F18" s="20" t="n"/>
    </row>
    <row r="19">
      <c r="A19" s="20" t="n"/>
      <c r="B19" s="20" t="n"/>
      <c r="C19" s="20" t="n"/>
      <c r="D19" s="20" t="n"/>
      <c r="E19" s="20" t="n"/>
      <c r="F19" s="20" t="n"/>
    </row>
    <row r="20">
      <c r="A20" s="20" t="n"/>
      <c r="B20" s="20" t="n"/>
      <c r="C20" s="20" t="n"/>
      <c r="D20" s="20" t="n"/>
      <c r="E20" s="20" t="n"/>
      <c r="F20" s="20" t="n"/>
    </row>
  </sheetData>
  <dataValidations count="1">
    <dataValidation sqref="E5 E6 E7 E8 E9 E10 E11 E12 E13 E14 E15 E16 E17 E18 E19 E20" showDropDown="0" showInputMessage="0" showErrorMessage="0" allowBlank="1" type="list">
      <formula1>"Resuelto,En curso,Pendiente"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Resumen del Sprint 1</t>
        </is>
      </c>
    </row>
    <row r="2">
      <c r="A2" s="2" t="inlineStr">
        <is>
          <t>Se actualiza solo a partir del Burndown.</t>
        </is>
      </c>
    </row>
    <row r="4" ht="32" customHeight="1">
      <c r="A4" s="3" t="inlineStr">
        <is>
          <t>Indicador</t>
        </is>
      </c>
      <c r="B4" s="3" t="inlineStr">
        <is>
          <t>Valor</t>
        </is>
      </c>
    </row>
    <row r="5">
      <c r="A5" s="25" t="inlineStr">
        <is>
          <t>Puntos comprometidos (alcance final)</t>
        </is>
      </c>
      <c r="B5" s="26">
        <f>Burndown!C18</f>
        <v/>
      </c>
    </row>
    <row r="6">
      <c r="A6" s="25" t="inlineStr">
        <is>
          <t>Puntos terminados a hoy (22/09)</t>
        </is>
      </c>
      <c r="B6" s="26">
        <f>Burndown!E14</f>
        <v/>
      </c>
    </row>
    <row r="7">
      <c r="A7" s="25" t="inlineStr">
        <is>
          <t>Puntos pendientes a hoy</t>
        </is>
      </c>
      <c r="B7" s="26">
        <f>Burndown!F14</f>
        <v/>
      </c>
    </row>
    <row r="8">
      <c r="A8" s="25" t="inlineStr">
        <is>
          <t>Avance del sprint a hoy</t>
        </is>
      </c>
      <c r="B8" s="27">
        <f>Burndown!H14</f>
        <v/>
      </c>
    </row>
    <row r="9">
      <c r="A9" s="25" t="inlineStr">
        <is>
          <t>Historias y tareas en el sprint</t>
        </is>
      </c>
      <c r="B9" s="26" t="n">
        <v>14</v>
      </c>
    </row>
    <row r="10">
      <c r="A10" s="25" t="inlineStr">
        <is>
          <t>Historias y tareas terminadas</t>
        </is>
      </c>
      <c r="B10" s="26" t="n">
        <v>11</v>
      </c>
    </row>
    <row r="11">
      <c r="A11" s="25" t="inlineStr">
        <is>
          <t>Impedimentos resueltos</t>
        </is>
      </c>
      <c r="B11" s="26">
        <f>COUNTIF(Impedimentos!E:E,"Resuelto")</f>
        <v/>
      </c>
    </row>
    <row r="12">
      <c r="A12" s="25" t="inlineStr">
        <is>
          <t>Impedimentos pendientes</t>
        </is>
      </c>
      <c r="B12" s="26">
        <f>COUNTIF(Impedimentos!E:E,"Pendiente")+COUNTIF(Impedimentos!E:E,"En curso")</f>
        <v/>
      </c>
    </row>
    <row r="15">
      <c r="A15" s="28" t="inlineStr">
        <is>
          <t>Carga por integrante (SP)</t>
        </is>
      </c>
    </row>
    <row r="16" ht="32" customHeight="1">
      <c r="A16" s="3" t="inlineStr">
        <is>
          <t>Integrante</t>
        </is>
      </c>
      <c r="B16" s="3" t="inlineStr">
        <is>
          <t>SP asignados</t>
        </is>
      </c>
    </row>
    <row r="17">
      <c r="A17" s="25" t="inlineStr">
        <is>
          <t>Eder Fabián Rodríguez Murillo</t>
        </is>
      </c>
      <c r="B17" s="14" t="n">
        <v>14</v>
      </c>
    </row>
    <row r="18">
      <c r="A18" s="25" t="inlineStr">
        <is>
          <t>Eduardo José Benítez Guevara</t>
        </is>
      </c>
      <c r="B18" s="14" t="n">
        <v>16</v>
      </c>
    </row>
    <row r="19">
      <c r="A19" s="25" t="inlineStr">
        <is>
          <t>Jorge Andrés Marín Díaz</t>
        </is>
      </c>
      <c r="B19" s="14" t="n">
        <v>13</v>
      </c>
    </row>
    <row r="20">
      <c r="A20" s="25" t="inlineStr">
        <is>
          <t>Samuel Uribe Naranjo</t>
        </is>
      </c>
      <c r="B20" s="1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2026-09-22T14:04:58Z</dcterms:created>
  <dcterms:modified xmlns:dcterms="http://purl.org/dc/terms/" xmlns:xsi="http://www.w3.org/2001/XMLSchema-instance" xsi:type="dcterms:W3CDTF">2026-09-22T14:04:58Z</dcterms:modified>
</cp:coreProperties>
</file>