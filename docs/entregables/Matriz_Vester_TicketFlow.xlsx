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roblemas" sheetId="1" state="visible" r:id="rId1"/>
    <sheet xmlns:r="http://schemas.openxmlformats.org/officeDocument/2006/relationships" name="2. Matriz" sheetId="2" state="visible" r:id="rId2"/>
    <sheet xmlns:r="http://schemas.openxmlformats.org/officeDocument/2006/relationships" name="3. Clasificacion" sheetId="3" state="visible" r:id="rId3"/>
    <sheet xmlns:r="http://schemas.openxmlformats.org/officeDocument/2006/relationships" name="4. Plan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191C1E"/>
      <sz val="16"/>
    </font>
    <font>
      <name val="Calibri"/>
      <i val="1"/>
      <color rgb="005A5868"/>
      <sz val="10"/>
    </font>
    <font>
      <name val="Calibri"/>
      <b val="1"/>
      <color rgb="005A5868"/>
      <sz val="10"/>
    </font>
    <font>
      <name val="Consolas"/>
      <b val="1"/>
      <color rgb="00493EE5"/>
      <sz val="11"/>
    </font>
    <font>
      <name val="Calibri"/>
      <color rgb="00191C1E"/>
      <sz val="11"/>
    </font>
    <font>
      <name val="Calibri"/>
      <color rgb="005A5868"/>
      <sz val="10"/>
    </font>
    <font>
      <name val="Calibri"/>
      <b val="1"/>
      <color rgb="005A5868"/>
      <sz val="9"/>
    </font>
    <font>
      <name val="Consolas"/>
      <color rgb="00A8A5B5"/>
      <sz val="11"/>
    </font>
    <font>
      <name val="Consolas"/>
      <color rgb="00B8B5C4"/>
      <sz val="11"/>
    </font>
    <font>
      <name val="Consolas"/>
      <b val="1"/>
      <color rgb="00191C1E"/>
      <sz val="11"/>
    </font>
    <font>
      <name val="Consolas"/>
      <color rgb="005A5868"/>
      <sz val="11"/>
    </font>
    <font>
      <name val="Consolas"/>
      <color rgb="00191C1E"/>
      <sz val="11"/>
    </font>
    <font>
      <name val="Calibri"/>
      <b val="1"/>
      <color rgb="00191C1E"/>
      <sz val="11"/>
    </font>
    <font>
      <name val="Calibri"/>
      <b val="1"/>
      <color rgb="000F766E"/>
      <sz val="10"/>
    </font>
    <font>
      <name val="Calibri"/>
      <b val="1"/>
      <color rgb="00191C1E"/>
      <sz val="10"/>
    </font>
    <font>
      <name val="Calibri"/>
      <b val="1"/>
      <color rgb="00191C1E"/>
      <sz val="12"/>
    </font>
    <font>
      <name val="Calibri"/>
      <b val="1"/>
      <color rgb="00B45309"/>
      <sz val="10"/>
    </font>
    <font>
      <name val="Calibri"/>
      <b val="1"/>
      <color rgb="00B4232A"/>
      <sz val="10"/>
    </font>
    <font>
      <name val="Calibri"/>
      <b val="1"/>
      <color rgb="006B7280"/>
      <sz val="10"/>
    </font>
    <font>
      <name val="Consolas"/>
      <sz val="9"/>
    </font>
    <font>
      <name val="Consolas"/>
      <color rgb="005A5868"/>
      <sz val="9"/>
    </font>
  </fonts>
  <fills count="8">
    <fill>
      <patternFill/>
    </fill>
    <fill>
      <patternFill patternType="gray125"/>
    </fill>
    <fill>
      <patternFill patternType="solid">
        <fgColor rgb="00F3F3F7"/>
      </patternFill>
    </fill>
    <fill>
      <patternFill patternType="solid">
        <fgColor rgb="00EDECFC"/>
      </patternFill>
    </fill>
    <fill>
      <patternFill patternType="solid">
        <fgColor rgb="00FCF2E5"/>
      </patternFill>
    </fill>
    <fill>
      <patternFill patternType="solid">
        <fgColor rgb="00FBEDEE"/>
      </patternFill>
    </fill>
    <fill>
      <patternFill patternType="solid">
        <fgColor rgb="00E7F4F2"/>
      </patternFill>
    </fill>
    <fill>
      <patternFill patternType="solid">
        <fgColor rgb="00F1F1F4"/>
      </patternFill>
    </fill>
  </fills>
  <borders count="6">
    <border>
      <left/>
      <right/>
      <top/>
      <bottom/>
      <diagonal/>
    </border>
    <border>
      <left style="thin">
        <color rgb="00D9D8E0"/>
      </left>
      <right style="thin">
        <color rgb="00D9D8E0"/>
      </right>
      <top style="thin">
        <color rgb="00D9D8E0"/>
      </top>
      <bottom style="thin">
        <color rgb="00D9D8E0"/>
      </bottom>
    </border>
    <border>
      <left/>
      <right/>
      <top style="thin">
        <color rgb="00D9D8E0"/>
      </top>
      <bottom/>
      <diagonal/>
    </border>
    <border>
      <left/>
      <right style="thin">
        <color rgb="00D9D8E0"/>
      </right>
      <top style="thin">
        <color rgb="00D9D8E0"/>
      </top>
      <bottom/>
      <diagonal/>
    </border>
    <border>
      <left/>
      <right/>
      <top style="thin">
        <color rgb="00D9D8E0"/>
      </top>
      <bottom style="thin">
        <color rgb="00D9D8E0"/>
      </bottom>
      <diagonal/>
    </border>
    <border>
      <left/>
      <right style="thin">
        <color rgb="00D9D8E0"/>
      </right>
      <top style="thin">
        <color rgb="00D9D8E0"/>
      </top>
      <bottom style="thin">
        <color rgb="00D9D8E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1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5" fillId="0" borderId="1" applyAlignment="1" pivotButton="0" quotePrefix="0" xfId="0">
      <alignment horizontal="center" vertical="center"/>
    </xf>
    <xf numFmtId="0" fontId="16" fillId="0" borderId="0" pivotButton="0" quotePrefix="0" xfId="0"/>
    <xf numFmtId="0" fontId="17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8" fillId="5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/>
    </xf>
    <xf numFmtId="0" fontId="3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1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Calibri"/>
        <b val="1"/>
        <color rgb="00B4232A"/>
        <sz val="10"/>
      </font>
      <fill>
        <patternFill patternType="solid">
          <fgColor rgb="00FBEDEE"/>
        </patternFill>
      </fill>
    </dxf>
    <dxf>
      <font>
        <name val="Calibri"/>
        <b val="1"/>
        <color rgb="00B45309"/>
        <sz val="10"/>
      </font>
      <fill>
        <patternFill patternType="solid">
          <fgColor rgb="00FCF2E5"/>
        </patternFill>
      </fill>
    </dxf>
    <dxf>
      <font>
        <name val="Calibri"/>
        <b val="1"/>
        <color rgb="000F766E"/>
        <sz val="10"/>
      </font>
      <fill>
        <patternFill patternType="solid">
          <fgColor rgb="00E7F4F2"/>
        </patternFill>
      </fill>
    </dxf>
    <dxf>
      <font>
        <name val="Calibri"/>
        <b val="1"/>
        <color rgb="006B7280"/>
        <sz val="10"/>
      </font>
      <fill>
        <patternFill patternType="solid">
          <fgColor rgb="00F1F1F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Matriz de Vester · plano de causalidad</a:t>
            </a:r>
          </a:p>
        </rich>
      </tx>
    </title>
    <plotArea>
      <scatterChart>
        <ser>
          <idx val="0"/>
          <order val="0"/>
          <tx>
            <v>Critico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B4232A"/>
              </a:solidFill>
              <a:ln xmlns:a="http://schemas.openxmlformats.org/drawingml/2006/main">
                <a:solidFill>
                  <a:srgbClr val="B4232A"/>
                </a:solidFill>
                <a:prstDash val="solid"/>
              </a:ln>
            </spPr>
          </marker>
          <xVal>
            <numRef>
              <f>'4. Plano'!$D$31:$D$40</f>
            </numRef>
          </xVal>
          <yVal>
            <numRef>
              <f>'4. Plano'!$E$31:$E$40</f>
            </numRef>
          </yVal>
        </ser>
        <ser>
          <idx val="1"/>
          <order val="1"/>
          <tx>
            <v>Activo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B45309"/>
              </a:solidFill>
              <a:ln xmlns:a="http://schemas.openxmlformats.org/drawingml/2006/main">
                <a:solidFill>
                  <a:srgbClr val="B45309"/>
                </a:solidFill>
                <a:prstDash val="solid"/>
              </a:ln>
            </spPr>
          </marker>
          <xVal>
            <numRef>
              <f>'4. Plano'!$F$31:$F$40</f>
            </numRef>
          </xVal>
          <yVal>
            <numRef>
              <f>'4. Plano'!$G$31:$G$40</f>
            </numRef>
          </yVal>
        </ser>
        <ser>
          <idx val="2"/>
          <order val="2"/>
          <tx>
            <v>Pasivo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0F766E"/>
              </a:solidFill>
              <a:ln xmlns:a="http://schemas.openxmlformats.org/drawingml/2006/main">
                <a:solidFill>
                  <a:srgbClr val="0F766E"/>
                </a:solidFill>
                <a:prstDash val="solid"/>
              </a:ln>
            </spPr>
          </marker>
          <xVal>
            <numRef>
              <f>'4. Plano'!$H$31:$H$40</f>
            </numRef>
          </xVal>
          <yVal>
            <numRef>
              <f>'4. Plano'!$I$31:$I$40</f>
            </numRef>
          </yVal>
        </ser>
        <ser>
          <idx val="3"/>
          <order val="3"/>
          <tx>
            <v>Indiferente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6B7280"/>
              </a:solidFill>
              <a:ln xmlns:a="http://schemas.openxmlformats.org/drawingml/2006/main">
                <a:solidFill>
                  <a:srgbClr val="6B7280"/>
                </a:solidFill>
                <a:prstDash val="solid"/>
              </a:ln>
            </spPr>
          </marker>
          <xVal>
            <numRef>
              <f>'4. Plano'!$J$31:$J$40</f>
            </numRef>
          </xVal>
          <yVal>
            <numRef>
              <f>'4. Plano'!$K$31:$K$40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Influencia — cuanto causa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Dependencia — cuanto lo causan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55" customWidth="1" min="2" max="2"/>
    <col width="52" customWidth="1" min="3" max="3"/>
  </cols>
  <sheetData>
    <row r="1">
      <c r="A1" s="1" t="inlineStr">
        <is>
          <t>Matriz de Vester · TicketFlow</t>
        </is>
      </c>
    </row>
    <row r="2" ht="45" customHeight="1">
      <c r="A2" s="2" t="inlineStr">
        <is>
          <t>Los diez problemas del mercado de boleteria en Colombia que entran al cruce. Salen del enunciado del Proyecto Integrador, del analisis PESTEL del equipo y del benchmark de Tuboleta, Eventbrite, Ticketmaster y Taquilla Live.</t>
        </is>
      </c>
    </row>
    <row r="4">
      <c r="A4" s="3" t="inlineStr">
        <is>
          <t>Codigo</t>
        </is>
      </c>
      <c r="B4" s="3" t="inlineStr">
        <is>
          <t>Problema</t>
        </is>
      </c>
      <c r="C4" s="3" t="inlineStr">
        <is>
          <t>De donde sale</t>
        </is>
      </c>
    </row>
    <row r="5" ht="30" customHeight="1">
      <c r="A5" s="4" t="inlineStr">
        <is>
          <t>P1</t>
        </is>
      </c>
      <c r="B5" s="5" t="inlineStr">
        <is>
          <t>Desconfianza del comprador en las plataformas de boleteria</t>
        </is>
      </c>
      <c r="C5" s="6" t="inlineStr">
        <is>
          <t>Caso SIC vs. Tuboleta; analisis PESTEL (factor legal)</t>
        </is>
      </c>
    </row>
    <row r="6" ht="30" customHeight="1">
      <c r="A6" s="4" t="inlineStr">
        <is>
          <t>P2</t>
        </is>
      </c>
      <c r="B6" s="5" t="inlineStr">
        <is>
          <t>Precio final oculto hasta el checkout (cargos sorpresa)</t>
        </is>
      </c>
      <c r="C6" s="6" t="inlineStr">
        <is>
          <t>Benchmark: cargos por servicio de Eventbrite y Ticketmaster</t>
        </is>
      </c>
    </row>
    <row r="7" ht="30" customHeight="1">
      <c r="A7" s="4" t="inlineStr">
        <is>
          <t>P3</t>
        </is>
      </c>
      <c r="B7" s="5" t="inlineStr">
        <is>
          <t>Reventa y suplantacion de boletas</t>
        </is>
      </c>
      <c r="C7" s="6" t="inlineStr">
        <is>
          <t>Benchmark del sector (Tuboleta, Ticketmaster)</t>
        </is>
      </c>
    </row>
    <row r="8" ht="30" customHeight="1">
      <c r="A8" s="4" t="inlineStr">
        <is>
          <t>P4</t>
        </is>
      </c>
      <c r="B8" s="5" t="inlineStr">
        <is>
          <t>Sobreventa y descontrol del aforo por gestion manual</t>
        </is>
      </c>
      <c r="C8" s="6" t="inlineStr">
        <is>
          <t>Enunciado: Evento.capacidad total de espectadores</t>
        </is>
      </c>
    </row>
    <row r="9" ht="30" customHeight="1">
      <c r="A9" s="4" t="inlineStr">
        <is>
          <t>P5</t>
        </is>
      </c>
      <c r="B9" s="5" t="inlineStr">
        <is>
          <t>Reembolsos lentos o incumplidos (Ley 2439 de 2024)</t>
        </is>
      </c>
      <c r="C9" s="6" t="inlineStr">
        <is>
          <t>Ley 2439 de 2024; analisis PESTEL (factor legal)</t>
        </is>
      </c>
    </row>
    <row r="10" ht="30" customHeight="1">
      <c r="A10" s="4" t="inlineStr">
        <is>
          <t>P6</t>
        </is>
      </c>
      <c r="B10" s="5" t="inlineStr">
        <is>
          <t>Ausencia de un canal PQRS digital y trazable</t>
        </is>
      </c>
      <c r="C10" s="6" t="inlineStr">
        <is>
          <t>Caso SIC (cargo por fallas en PQRS); PESTEL legal</t>
        </is>
      </c>
    </row>
    <row r="11" ht="30" customHeight="1">
      <c r="A11" s="4" t="inlineStr">
        <is>
          <t>P7</t>
        </is>
      </c>
      <c r="B11" s="5" t="inlineStr">
        <is>
          <t>Organizadores pequenos sin herramientas digitales</t>
        </is>
      </c>
      <c r="C11" s="6" t="inlineStr">
        <is>
          <t>Enunciado: perfil Agente; PESTEL (factor tecnologico)</t>
        </is>
      </c>
    </row>
    <row r="12" ht="30" customHeight="1">
      <c r="A12" s="4" t="inlineStr">
        <is>
          <t>P8</t>
        </is>
      </c>
      <c r="B12" s="5" t="inlineStr">
        <is>
          <t>Caidas de la plataforma en picos de venta</t>
        </is>
      </c>
      <c r="C12" s="6" t="inlineStr">
        <is>
          <t>Analisis PESTEL (factor tecnologico)</t>
        </is>
      </c>
    </row>
    <row r="13" ht="30" customHeight="1">
      <c r="A13" s="4" t="inlineStr">
        <is>
          <t>P9</t>
        </is>
      </c>
      <c r="B13" s="5" t="inlineStr">
        <is>
          <t>Abandono de la compra antes de confirmar</t>
        </is>
      </c>
      <c r="C13" s="6" t="inlineStr">
        <is>
          <t>Benchmark: abandono de carrito por cargos sorpresa</t>
        </is>
      </c>
    </row>
    <row r="14" ht="30" customHeight="1">
      <c r="A14" s="4" t="inlineStr">
        <is>
          <t>P10</t>
        </is>
      </c>
      <c r="B14" s="5" t="inlineStr">
        <is>
          <t>Baja recompra y poca fidelizacion del cliente</t>
        </is>
      </c>
      <c r="C14" s="6" t="inlineStr">
        <is>
          <t>Enunciado: campo Cliente.puntos</t>
        </is>
      </c>
    </row>
    <row r="16" ht="30" customHeight="1">
      <c r="A16" s="2" t="inlineStr">
        <is>
          <t>Escala de causalidad usada en la hoja 2:   0 = no lo causa   ·   1 = lo causa de forma debil o indirecta   ·   2 = lo causa de forma media   ·   3 = lo causa de forma directa y fuerte</t>
        </is>
      </c>
    </row>
  </sheetData>
  <mergeCells count="2">
    <mergeCell ref="A16:C1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13" customWidth="1" min="12" max="12"/>
    <col width="24" customWidth="1" min="14" max="14"/>
    <col width="46" customWidth="1" min="15" max="15"/>
  </cols>
  <sheetData>
    <row r="1">
      <c r="A1" s="1" t="inlineStr">
        <is>
          <t>El cruce</t>
        </is>
      </c>
    </row>
    <row r="2" ht="32" customHeight="1">
      <c r="A2" s="2" t="inlineStr">
        <is>
          <t>Cada casilla responde: ¿cuanto causa el problema de la FILA al problema de la COLUMNA? Solo se editan las casillas del cruce (B5:K14). La influencia, la dependencia y los cortes son formulas.</t>
        </is>
      </c>
    </row>
    <row r="4">
      <c r="A4" s="7" t="inlineStr">
        <is>
          <t>causa ↓ / efecto →</t>
        </is>
      </c>
      <c r="B4" s="3" t="inlineStr">
        <is>
          <t>P1</t>
        </is>
      </c>
      <c r="C4" s="3" t="inlineStr">
        <is>
          <t>P2</t>
        </is>
      </c>
      <c r="D4" s="3" t="inlineStr">
        <is>
          <t>P3</t>
        </is>
      </c>
      <c r="E4" s="3" t="inlineStr">
        <is>
          <t>P4</t>
        </is>
      </c>
      <c r="F4" s="3" t="inlineStr">
        <is>
          <t>P5</t>
        </is>
      </c>
      <c r="G4" s="3" t="inlineStr">
        <is>
          <t>P6</t>
        </is>
      </c>
      <c r="H4" s="3" t="inlineStr">
        <is>
          <t>P7</t>
        </is>
      </c>
      <c r="I4" s="3" t="inlineStr">
        <is>
          <t>P8</t>
        </is>
      </c>
      <c r="J4" s="3" t="inlineStr">
        <is>
          <t>P9</t>
        </is>
      </c>
      <c r="K4" s="3" t="inlineStr">
        <is>
          <t>P10</t>
        </is>
      </c>
      <c r="L4" s="3" t="inlineStr">
        <is>
          <t>INFLUENCIA</t>
        </is>
      </c>
      <c r="N4" s="8" t="inlineStr">
        <is>
          <t>Cortes de los ejes</t>
        </is>
      </c>
    </row>
    <row r="5">
      <c r="A5" s="9" t="inlineStr">
        <is>
          <t>P1</t>
        </is>
      </c>
      <c r="B5" s="10" t="inlineStr">
        <is>
          <t>—</t>
        </is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2" t="n">
        <v>3</v>
      </c>
      <c r="K5" s="12" t="n">
        <v>3</v>
      </c>
      <c r="L5" s="13">
        <f>SUM(B5:K5)</f>
        <v/>
      </c>
      <c r="N5" s="14" t="inlineStr">
        <is>
          <t>Corte en X (influencia)</t>
        </is>
      </c>
      <c r="O5" s="15">
        <f>MAX(L5:L14)/2</f>
        <v/>
      </c>
    </row>
    <row r="6">
      <c r="A6" s="9" t="inlineStr">
        <is>
          <t>P2</t>
        </is>
      </c>
      <c r="B6" s="12" t="n">
        <v>3</v>
      </c>
      <c r="C6" s="10" t="inlineStr">
        <is>
          <t>—</t>
        </is>
      </c>
      <c r="D6" s="11" t="n">
        <v>0</v>
      </c>
      <c r="E6" s="11" t="n">
        <v>0</v>
      </c>
      <c r="F6" s="16" t="n">
        <v>1</v>
      </c>
      <c r="G6" s="11" t="n">
        <v>0</v>
      </c>
      <c r="H6" s="11" t="n">
        <v>0</v>
      </c>
      <c r="I6" s="11" t="n">
        <v>0</v>
      </c>
      <c r="J6" s="12" t="n">
        <v>3</v>
      </c>
      <c r="K6" s="17" t="n">
        <v>2</v>
      </c>
      <c r="L6" s="13">
        <f>SUM(B6:K6)</f>
        <v/>
      </c>
      <c r="N6" s="14" t="inlineStr">
        <is>
          <t>Corte en Y (dependencia)</t>
        </is>
      </c>
      <c r="O6" s="15">
        <f>MAX(B15:K15)/2</f>
        <v/>
      </c>
    </row>
    <row r="7">
      <c r="A7" s="9" t="inlineStr">
        <is>
          <t>P3</t>
        </is>
      </c>
      <c r="B7" s="12" t="n">
        <v>3</v>
      </c>
      <c r="C7" s="11" t="n">
        <v>0</v>
      </c>
      <c r="D7" s="10" t="inlineStr">
        <is>
          <t>—</t>
        </is>
      </c>
      <c r="E7" s="17" t="n">
        <v>2</v>
      </c>
      <c r="F7" s="16" t="n">
        <v>1</v>
      </c>
      <c r="G7" s="16" t="n">
        <v>1</v>
      </c>
      <c r="H7" s="11" t="n">
        <v>0</v>
      </c>
      <c r="I7" s="11" t="n">
        <v>0</v>
      </c>
      <c r="J7" s="16" t="n">
        <v>1</v>
      </c>
      <c r="K7" s="17" t="n">
        <v>2</v>
      </c>
      <c r="L7" s="13">
        <f>SUM(B7:K7)</f>
        <v/>
      </c>
    </row>
    <row r="8">
      <c r="A8" s="9" t="inlineStr">
        <is>
          <t>P4</t>
        </is>
      </c>
      <c r="B8" s="12" t="n">
        <v>3</v>
      </c>
      <c r="C8" s="11" t="n">
        <v>0</v>
      </c>
      <c r="D8" s="16" t="n">
        <v>1</v>
      </c>
      <c r="E8" s="10" t="inlineStr">
        <is>
          <t>—</t>
        </is>
      </c>
      <c r="F8" s="12" t="n">
        <v>3</v>
      </c>
      <c r="G8" s="17" t="n">
        <v>2</v>
      </c>
      <c r="H8" s="11" t="n">
        <v>0</v>
      </c>
      <c r="I8" s="11" t="n">
        <v>0</v>
      </c>
      <c r="J8" s="16" t="n">
        <v>1</v>
      </c>
      <c r="K8" s="12" t="n">
        <v>3</v>
      </c>
      <c r="L8" s="13">
        <f>SUM(B8:K8)</f>
        <v/>
      </c>
      <c r="N8" s="14" t="inlineStr">
        <is>
          <t>Comprobacion</t>
        </is>
      </c>
      <c r="O8" s="18">
        <f>IF(SUM(L5:L14)=SUM(B15:K15),"Correcta: las filas y las columnas suman igual","OJO: hay un error de captura")</f>
        <v/>
      </c>
    </row>
    <row r="9">
      <c r="A9" s="9" t="inlineStr">
        <is>
          <t>P5</t>
        </is>
      </c>
      <c r="B9" s="12" t="n">
        <v>3</v>
      </c>
      <c r="C9" s="11" t="n">
        <v>0</v>
      </c>
      <c r="D9" s="11" t="n">
        <v>0</v>
      </c>
      <c r="E9" s="11" t="n">
        <v>0</v>
      </c>
      <c r="F9" s="10" t="inlineStr">
        <is>
          <t>—</t>
        </is>
      </c>
      <c r="G9" s="17" t="n">
        <v>2</v>
      </c>
      <c r="H9" s="11" t="n">
        <v>0</v>
      </c>
      <c r="I9" s="11" t="n">
        <v>0</v>
      </c>
      <c r="J9" s="16" t="n">
        <v>1</v>
      </c>
      <c r="K9" s="12" t="n">
        <v>3</v>
      </c>
      <c r="L9" s="13">
        <f>SUM(B9:K9)</f>
        <v/>
      </c>
    </row>
    <row r="10">
      <c r="A10" s="9" t="inlineStr">
        <is>
          <t>P6</t>
        </is>
      </c>
      <c r="B10" s="12" t="n">
        <v>3</v>
      </c>
      <c r="C10" s="11" t="n">
        <v>0</v>
      </c>
      <c r="D10" s="11" t="n">
        <v>0</v>
      </c>
      <c r="E10" s="11" t="n">
        <v>0</v>
      </c>
      <c r="F10" s="12" t="n">
        <v>3</v>
      </c>
      <c r="G10" s="10" t="inlineStr">
        <is>
          <t>—</t>
        </is>
      </c>
      <c r="H10" s="11" t="n">
        <v>0</v>
      </c>
      <c r="I10" s="11" t="n">
        <v>0</v>
      </c>
      <c r="J10" s="11" t="n">
        <v>0</v>
      </c>
      <c r="K10" s="17" t="n">
        <v>2</v>
      </c>
      <c r="L10" s="13">
        <f>SUM(B10:K10)</f>
        <v/>
      </c>
      <c r="N10" s="2" t="inlineStr">
        <is>
          <t>El corte va en la mitad del rango de cada eje, que es el criterio habitual de la matriz de Vester.</t>
        </is>
      </c>
    </row>
    <row r="11">
      <c r="A11" s="9" t="inlineStr">
        <is>
          <t>P7</t>
        </is>
      </c>
      <c r="B11" s="17" t="n">
        <v>2</v>
      </c>
      <c r="C11" s="16" t="n">
        <v>1</v>
      </c>
      <c r="D11" s="12" t="n">
        <v>3</v>
      </c>
      <c r="E11" s="12" t="n">
        <v>3</v>
      </c>
      <c r="F11" s="17" t="n">
        <v>2</v>
      </c>
      <c r="G11" s="12" t="n">
        <v>3</v>
      </c>
      <c r="H11" s="10" t="inlineStr">
        <is>
          <t>—</t>
        </is>
      </c>
      <c r="I11" s="11" t="n">
        <v>0</v>
      </c>
      <c r="J11" s="17" t="n">
        <v>2</v>
      </c>
      <c r="K11" s="16" t="n">
        <v>1</v>
      </c>
      <c r="L11" s="13">
        <f>SUM(B11:K11)</f>
        <v/>
      </c>
    </row>
    <row r="12">
      <c r="A12" s="9" t="inlineStr">
        <is>
          <t>P8</t>
        </is>
      </c>
      <c r="B12" s="17" t="n">
        <v>2</v>
      </c>
      <c r="C12" s="11" t="n">
        <v>0</v>
      </c>
      <c r="D12" s="11" t="n">
        <v>0</v>
      </c>
      <c r="E12" s="17" t="n">
        <v>2</v>
      </c>
      <c r="F12" s="16" t="n">
        <v>1</v>
      </c>
      <c r="G12" s="16" t="n">
        <v>1</v>
      </c>
      <c r="H12" s="11" t="n">
        <v>0</v>
      </c>
      <c r="I12" s="10" t="inlineStr">
        <is>
          <t>—</t>
        </is>
      </c>
      <c r="J12" s="12" t="n">
        <v>3</v>
      </c>
      <c r="K12" s="17" t="n">
        <v>2</v>
      </c>
      <c r="L12" s="13">
        <f>SUM(B12:K12)</f>
        <v/>
      </c>
    </row>
    <row r="13">
      <c r="A13" s="9" t="inlineStr">
        <is>
          <t>P9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6" t="n">
        <v>1</v>
      </c>
      <c r="I13" s="11" t="n">
        <v>0</v>
      </c>
      <c r="J13" s="10" t="inlineStr">
        <is>
          <t>—</t>
        </is>
      </c>
      <c r="K13" s="17" t="n">
        <v>2</v>
      </c>
      <c r="L13" s="13">
        <f>SUM(B13:K13)</f>
        <v/>
      </c>
    </row>
    <row r="14">
      <c r="A14" s="9" t="inlineStr">
        <is>
          <t>P10</t>
        </is>
      </c>
      <c r="B14" s="11" t="n">
        <v>0</v>
      </c>
      <c r="C14" s="11" t="n"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6" t="n">
        <v>1</v>
      </c>
      <c r="I14" s="11" t="n">
        <v>0</v>
      </c>
      <c r="J14" s="11" t="n">
        <v>0</v>
      </c>
      <c r="K14" s="10" t="inlineStr">
        <is>
          <t>—</t>
        </is>
      </c>
      <c r="L14" s="13">
        <f>SUM(B14:K14)</f>
        <v/>
      </c>
    </row>
    <row r="15">
      <c r="A15" s="3" t="inlineStr">
        <is>
          <t>DEPENDENCIA</t>
        </is>
      </c>
      <c r="B15" s="13">
        <f>SUM(B5:B14)</f>
        <v/>
      </c>
      <c r="C15" s="13">
        <f>SUM(C5:C14)</f>
        <v/>
      </c>
      <c r="D15" s="13">
        <f>SUM(D5:D14)</f>
        <v/>
      </c>
      <c r="E15" s="13">
        <f>SUM(E5:E14)</f>
        <v/>
      </c>
      <c r="F15" s="13">
        <f>SUM(F5:F14)</f>
        <v/>
      </c>
      <c r="G15" s="13">
        <f>SUM(G5:G14)</f>
        <v/>
      </c>
      <c r="H15" s="13">
        <f>SUM(H5:H14)</f>
        <v/>
      </c>
      <c r="I15" s="13">
        <f>SUM(I5:I14)</f>
        <v/>
      </c>
      <c r="J15" s="13">
        <f>SUM(J5:J14)</f>
        <v/>
      </c>
      <c r="K15" s="13">
        <f>SUM(K5:K14)</f>
        <v/>
      </c>
      <c r="L15" s="12">
        <f>SUM(L5:L14)</f>
        <v/>
      </c>
    </row>
  </sheetData>
  <mergeCells count="2">
    <mergeCell ref="A2:L2"/>
    <mergeCell ref="N10:O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52" customWidth="1" min="2" max="2"/>
    <col width="12" customWidth="1" min="3" max="3"/>
    <col width="13" customWidth="1" min="4" max="4"/>
    <col width="15" customWidth="1" min="5" max="5"/>
  </cols>
  <sheetData>
    <row r="1">
      <c r="A1" s="1" t="inlineStr">
        <is>
          <t>Clasificacion por cuadrante</t>
        </is>
      </c>
    </row>
    <row r="2" ht="30" customHeight="1">
      <c r="A2" s="2" t="inlineStr">
        <is>
          <t>Todo en esta hoja son formulas que leen la hoja 2. El cuadrante se decide comparando la influencia y la dependencia de cada problema contra los cortes.</t>
        </is>
      </c>
    </row>
    <row r="4">
      <c r="A4" s="3" t="inlineStr">
        <is>
          <t>Codigo</t>
        </is>
      </c>
      <c r="B4" s="3" t="inlineStr">
        <is>
          <t>Problema</t>
        </is>
      </c>
      <c r="C4" s="3" t="inlineStr">
        <is>
          <t>Influencia</t>
        </is>
      </c>
      <c r="D4" s="3" t="inlineStr">
        <is>
          <t>Dependencia</t>
        </is>
      </c>
      <c r="E4" s="3" t="inlineStr">
        <is>
          <t>Cuadrante</t>
        </is>
      </c>
    </row>
    <row r="5" ht="26" customHeight="1">
      <c r="A5" s="4" t="inlineStr">
        <is>
          <t>P1</t>
        </is>
      </c>
      <c r="B5" s="5">
        <f>'1. Problemas'!B5</f>
        <v/>
      </c>
      <c r="C5" s="17">
        <f>'2. Matriz'!L5</f>
        <v/>
      </c>
      <c r="D5" s="17">
        <f>INDEX('2. Matriz'!$B$15:$K$15,1)</f>
        <v/>
      </c>
      <c r="E5" s="19">
        <f>IF(AND(C5&gt;='2. Matriz'!$O$5,D5&gt;='2. Matriz'!$O$6),"Critico",IF(AND(C5&gt;='2. Matriz'!$O$5,D5&lt;'2. Matriz'!$O$6),"Activo",IF(AND(C5&lt;'2. Matriz'!$O$5,D5&gt;='2. Matriz'!$O$6),"Pasivo","Indiferente")))</f>
        <v/>
      </c>
    </row>
    <row r="6" ht="26" customHeight="1">
      <c r="A6" s="4" t="inlineStr">
        <is>
          <t>P2</t>
        </is>
      </c>
      <c r="B6" s="5">
        <f>'1. Problemas'!B6</f>
        <v/>
      </c>
      <c r="C6" s="17">
        <f>'2. Matriz'!L6</f>
        <v/>
      </c>
      <c r="D6" s="17">
        <f>INDEX('2. Matriz'!$B$15:$K$15,2)</f>
        <v/>
      </c>
      <c r="E6" s="19">
        <f>IF(AND(C6&gt;='2. Matriz'!$O$5,D6&gt;='2. Matriz'!$O$6),"Critico",IF(AND(C6&gt;='2. Matriz'!$O$5,D6&lt;'2. Matriz'!$O$6),"Activo",IF(AND(C6&lt;'2. Matriz'!$O$5,D6&gt;='2. Matriz'!$O$6),"Pasivo","Indiferente")))</f>
        <v/>
      </c>
    </row>
    <row r="7" ht="26" customHeight="1">
      <c r="A7" s="4" t="inlineStr">
        <is>
          <t>P3</t>
        </is>
      </c>
      <c r="B7" s="5">
        <f>'1. Problemas'!B7</f>
        <v/>
      </c>
      <c r="C7" s="17">
        <f>'2. Matriz'!L7</f>
        <v/>
      </c>
      <c r="D7" s="17">
        <f>INDEX('2. Matriz'!$B$15:$K$15,3)</f>
        <v/>
      </c>
      <c r="E7" s="19">
        <f>IF(AND(C7&gt;='2. Matriz'!$O$5,D7&gt;='2. Matriz'!$O$6),"Critico",IF(AND(C7&gt;='2. Matriz'!$O$5,D7&lt;'2. Matriz'!$O$6),"Activo",IF(AND(C7&lt;'2. Matriz'!$O$5,D7&gt;='2. Matriz'!$O$6),"Pasivo","Indiferente")))</f>
        <v/>
      </c>
    </row>
    <row r="8" ht="26" customHeight="1">
      <c r="A8" s="4" t="inlineStr">
        <is>
          <t>P4</t>
        </is>
      </c>
      <c r="B8" s="5">
        <f>'1. Problemas'!B8</f>
        <v/>
      </c>
      <c r="C8" s="17">
        <f>'2. Matriz'!L8</f>
        <v/>
      </c>
      <c r="D8" s="17">
        <f>INDEX('2. Matriz'!$B$15:$K$15,4)</f>
        <v/>
      </c>
      <c r="E8" s="19">
        <f>IF(AND(C8&gt;='2. Matriz'!$O$5,D8&gt;='2. Matriz'!$O$6),"Critico",IF(AND(C8&gt;='2. Matriz'!$O$5,D8&lt;'2. Matriz'!$O$6),"Activo",IF(AND(C8&lt;'2. Matriz'!$O$5,D8&gt;='2. Matriz'!$O$6),"Pasivo","Indiferente")))</f>
        <v/>
      </c>
    </row>
    <row r="9" ht="26" customHeight="1">
      <c r="A9" s="4" t="inlineStr">
        <is>
          <t>P5</t>
        </is>
      </c>
      <c r="B9" s="5">
        <f>'1. Problemas'!B9</f>
        <v/>
      </c>
      <c r="C9" s="17">
        <f>'2. Matriz'!L9</f>
        <v/>
      </c>
      <c r="D9" s="17">
        <f>INDEX('2. Matriz'!$B$15:$K$15,5)</f>
        <v/>
      </c>
      <c r="E9" s="19">
        <f>IF(AND(C9&gt;='2. Matriz'!$O$5,D9&gt;='2. Matriz'!$O$6),"Critico",IF(AND(C9&gt;='2. Matriz'!$O$5,D9&lt;'2. Matriz'!$O$6),"Activo",IF(AND(C9&lt;'2. Matriz'!$O$5,D9&gt;='2. Matriz'!$O$6),"Pasivo","Indiferente")))</f>
        <v/>
      </c>
    </row>
    <row r="10" ht="26" customHeight="1">
      <c r="A10" s="4" t="inlineStr">
        <is>
          <t>P6</t>
        </is>
      </c>
      <c r="B10" s="5">
        <f>'1. Problemas'!B10</f>
        <v/>
      </c>
      <c r="C10" s="17">
        <f>'2. Matriz'!L10</f>
        <v/>
      </c>
      <c r="D10" s="17">
        <f>INDEX('2. Matriz'!$B$15:$K$15,6)</f>
        <v/>
      </c>
      <c r="E10" s="19">
        <f>IF(AND(C10&gt;='2. Matriz'!$O$5,D10&gt;='2. Matriz'!$O$6),"Critico",IF(AND(C10&gt;='2. Matriz'!$O$5,D10&lt;'2. Matriz'!$O$6),"Activo",IF(AND(C10&lt;'2. Matriz'!$O$5,D10&gt;='2. Matriz'!$O$6),"Pasivo","Indiferente")))</f>
        <v/>
      </c>
    </row>
    <row r="11" ht="26" customHeight="1">
      <c r="A11" s="4" t="inlineStr">
        <is>
          <t>P7</t>
        </is>
      </c>
      <c r="B11" s="5">
        <f>'1. Problemas'!B11</f>
        <v/>
      </c>
      <c r="C11" s="17">
        <f>'2. Matriz'!L11</f>
        <v/>
      </c>
      <c r="D11" s="17">
        <f>INDEX('2. Matriz'!$B$15:$K$15,7)</f>
        <v/>
      </c>
      <c r="E11" s="19">
        <f>IF(AND(C11&gt;='2. Matriz'!$O$5,D11&gt;='2. Matriz'!$O$6),"Critico",IF(AND(C11&gt;='2. Matriz'!$O$5,D11&lt;'2. Matriz'!$O$6),"Activo",IF(AND(C11&lt;'2. Matriz'!$O$5,D11&gt;='2. Matriz'!$O$6),"Pasivo","Indiferente")))</f>
        <v/>
      </c>
    </row>
    <row r="12" ht="26" customHeight="1">
      <c r="A12" s="4" t="inlineStr">
        <is>
          <t>P8</t>
        </is>
      </c>
      <c r="B12" s="5">
        <f>'1. Problemas'!B12</f>
        <v/>
      </c>
      <c r="C12" s="17">
        <f>'2. Matriz'!L12</f>
        <v/>
      </c>
      <c r="D12" s="17">
        <f>INDEX('2. Matriz'!$B$15:$K$15,8)</f>
        <v/>
      </c>
      <c r="E12" s="19">
        <f>IF(AND(C12&gt;='2. Matriz'!$O$5,D12&gt;='2. Matriz'!$O$6),"Critico",IF(AND(C12&gt;='2. Matriz'!$O$5,D12&lt;'2. Matriz'!$O$6),"Activo",IF(AND(C12&lt;'2. Matriz'!$O$5,D12&gt;='2. Matriz'!$O$6),"Pasivo","Indiferente")))</f>
        <v/>
      </c>
    </row>
    <row r="13" ht="26" customHeight="1">
      <c r="A13" s="4" t="inlineStr">
        <is>
          <t>P9</t>
        </is>
      </c>
      <c r="B13" s="5">
        <f>'1. Problemas'!B13</f>
        <v/>
      </c>
      <c r="C13" s="17">
        <f>'2. Matriz'!L13</f>
        <v/>
      </c>
      <c r="D13" s="17">
        <f>INDEX('2. Matriz'!$B$15:$K$15,9)</f>
        <v/>
      </c>
      <c r="E13" s="19">
        <f>IF(AND(C13&gt;='2. Matriz'!$O$5,D13&gt;='2. Matriz'!$O$6),"Critico",IF(AND(C13&gt;='2. Matriz'!$O$5,D13&lt;'2. Matriz'!$O$6),"Activo",IF(AND(C13&lt;'2. Matriz'!$O$5,D13&gt;='2. Matriz'!$O$6),"Pasivo","Indiferente")))</f>
        <v/>
      </c>
    </row>
    <row r="14" ht="26" customHeight="1">
      <c r="A14" s="4" t="inlineStr">
        <is>
          <t>P10</t>
        </is>
      </c>
      <c r="B14" s="5">
        <f>'1. Problemas'!B14</f>
        <v/>
      </c>
      <c r="C14" s="17">
        <f>'2. Matriz'!L14</f>
        <v/>
      </c>
      <c r="D14" s="17">
        <f>INDEX('2. Matriz'!$B$15:$K$15,10)</f>
        <v/>
      </c>
      <c r="E14" s="19">
        <f>IF(AND(C14&gt;='2. Matriz'!$O$5,D14&gt;='2. Matriz'!$O$6),"Critico",IF(AND(C14&gt;='2. Matriz'!$O$5,D14&lt;'2. Matriz'!$O$6),"Activo",IF(AND(C14&lt;'2. Matriz'!$O$5,D14&gt;='2. Matriz'!$O$6),"Pasivo","Indiferente")))</f>
        <v/>
      </c>
    </row>
    <row r="17">
      <c r="A17" s="20" t="inlineStr">
        <is>
          <t>Como se lee cada cuadrante</t>
        </is>
      </c>
    </row>
    <row r="19" ht="30" customHeight="1">
      <c r="A19" s="21" t="inlineStr">
        <is>
          <t>ACTIVO</t>
        </is>
      </c>
      <c r="B19" s="6" t="inlineStr">
        <is>
          <t>Causa mucho y casi nadie lo causa. Son las raices del problema: es por aqui por donde hay que atacar.</t>
        </is>
      </c>
      <c r="C19" s="22" t="n"/>
      <c r="D19" s="22" t="n"/>
      <c r="E19" s="23" t="n"/>
    </row>
    <row r="20" ht="30" customHeight="1">
      <c r="A20" s="24" t="inlineStr">
        <is>
          <t>CRITICO</t>
        </is>
      </c>
      <c r="B20" s="6" t="inlineStr">
        <is>
          <t>Causa y es causado a la vez. Es el punto donde el problema se realimenta; si no se resuelve, cualquier mejora aguas arriba se pierde.</t>
        </is>
      </c>
      <c r="C20" s="22" t="n"/>
      <c r="D20" s="22" t="n"/>
      <c r="E20" s="23" t="n"/>
    </row>
    <row r="21" ht="30" customHeight="1">
      <c r="A21" s="25" t="inlineStr">
        <is>
          <t>PASIVO</t>
        </is>
      </c>
      <c r="B21" s="6" t="inlineStr">
        <is>
          <t>Casi pura consecuencia. No se ataca de frente: se arregla resolviendo los activos y los criticos.</t>
        </is>
      </c>
      <c r="C21" s="22" t="n"/>
      <c r="D21" s="22" t="n"/>
      <c r="E21" s="23" t="n"/>
    </row>
    <row r="22" ht="30" customHeight="1">
      <c r="A22" s="26" t="inlineStr">
        <is>
          <t>INDIFERENTE</t>
        </is>
      </c>
      <c r="B22" s="6" t="inlineStr">
        <is>
          <t>Ni causa ni es causado de forma relevante. Baja prioridad, salvo que quede limitrofe con otro cuadrante.</t>
        </is>
      </c>
      <c r="C22" s="22" t="n"/>
      <c r="D22" s="22" t="n"/>
      <c r="E22" s="23" t="n"/>
    </row>
  </sheetData>
  <mergeCells count="5">
    <mergeCell ref="A2:E2"/>
    <mergeCell ref="B21:E21"/>
    <mergeCell ref="B19:E19"/>
    <mergeCell ref="B20:E20"/>
    <mergeCell ref="B22:E22"/>
  </mergeCells>
  <conditionalFormatting sqref="E5:E14">
    <cfRule type="cellIs" priority="1" operator="equal" dxfId="0">
      <formula>"Critico"</formula>
    </cfRule>
    <cfRule type="cellIs" priority="2" operator="equal" dxfId="1">
      <formula>"Activo"</formula>
    </cfRule>
    <cfRule type="cellIs" priority="3" operator="equal" dxfId="2">
      <formula>"Pasivo"</formula>
    </cfRule>
    <cfRule type="cellIs" priority="4" operator="equal" dxfId="3">
      <formula>"Indiferente"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Plano de causalidad</t>
        </is>
      </c>
    </row>
    <row r="2" ht="30" customHeight="1">
      <c r="A2" s="2" t="inlineStr">
        <is>
          <t>Cada problema se ubica segun cuanto causa (eje X) y cuanto lo causan (eje Y). Las cuatro series separan los cuadrantes: si se cambia un valor en la hoja 2, el punto cambia de serie y de color solo.</t>
        </is>
      </c>
    </row>
    <row r="29">
      <c r="A29" s="27" t="inlineStr">
        <is>
          <t>Datos del grafico (no borrar)</t>
        </is>
      </c>
    </row>
    <row r="30">
      <c r="A30" s="28" t="inlineStr">
        <is>
          <t>Cod</t>
        </is>
      </c>
      <c r="B30" s="28" t="inlineStr">
        <is>
          <t>INF</t>
        </is>
      </c>
      <c r="C30" s="28" t="inlineStr">
        <is>
          <t>DEP</t>
        </is>
      </c>
      <c r="D30" s="28" t="inlineStr">
        <is>
          <t>Critico X</t>
        </is>
      </c>
      <c r="E30" s="28" t="inlineStr">
        <is>
          <t>Critico Y</t>
        </is>
      </c>
      <c r="F30" s="28" t="inlineStr">
        <is>
          <t>Activo X</t>
        </is>
      </c>
      <c r="G30" s="28" t="inlineStr">
        <is>
          <t>Activo Y</t>
        </is>
      </c>
      <c r="H30" s="28" t="inlineStr">
        <is>
          <t>Pasivo X</t>
        </is>
      </c>
      <c r="I30" s="28" t="inlineStr">
        <is>
          <t>Pasivo Y</t>
        </is>
      </c>
      <c r="J30" s="28" t="inlineStr">
        <is>
          <t>Indif. X</t>
        </is>
      </c>
      <c r="K30" s="28" t="inlineStr">
        <is>
          <t>Indif. Y</t>
        </is>
      </c>
    </row>
    <row r="31">
      <c r="A31" s="29" t="inlineStr">
        <is>
          <t>P1</t>
        </is>
      </c>
      <c r="B31" s="30">
        <f>'3. Clasificacion'!C5</f>
        <v/>
      </c>
      <c r="C31" s="30">
        <f>'3. Clasificacion'!D5</f>
        <v/>
      </c>
      <c r="D31" s="30">
        <f>IF('3. Clasificacion'!E5="Critico",B31,NA())</f>
        <v/>
      </c>
      <c r="E31" s="30">
        <f>IF('3. Clasificacion'!E5="Critico",C31,NA())</f>
        <v/>
      </c>
      <c r="F31" s="30">
        <f>IF('3. Clasificacion'!E5="Activo",B31,NA())</f>
        <v/>
      </c>
      <c r="G31" s="30">
        <f>IF('3. Clasificacion'!E5="Activo",C31,NA())</f>
        <v/>
      </c>
      <c r="H31" s="30">
        <f>IF('3. Clasificacion'!E5="Pasivo",B31,NA())</f>
        <v/>
      </c>
      <c r="I31" s="30">
        <f>IF('3. Clasificacion'!E5="Pasivo",C31,NA())</f>
        <v/>
      </c>
      <c r="J31" s="30">
        <f>IF('3. Clasificacion'!E5="Indiferente",B31,NA())</f>
        <v/>
      </c>
      <c r="K31" s="30">
        <f>IF('3. Clasificacion'!E5="Indiferente",C31,NA())</f>
        <v/>
      </c>
    </row>
    <row r="32">
      <c r="A32" s="29" t="inlineStr">
        <is>
          <t>P2</t>
        </is>
      </c>
      <c r="B32" s="30">
        <f>'3. Clasificacion'!C6</f>
        <v/>
      </c>
      <c r="C32" s="30">
        <f>'3. Clasificacion'!D6</f>
        <v/>
      </c>
      <c r="D32" s="30">
        <f>IF('3. Clasificacion'!E6="Critico",B32,NA())</f>
        <v/>
      </c>
      <c r="E32" s="30">
        <f>IF('3. Clasificacion'!E6="Critico",C32,NA())</f>
        <v/>
      </c>
      <c r="F32" s="30">
        <f>IF('3. Clasificacion'!E6="Activo",B32,NA())</f>
        <v/>
      </c>
      <c r="G32" s="30">
        <f>IF('3. Clasificacion'!E6="Activo",C32,NA())</f>
        <v/>
      </c>
      <c r="H32" s="30">
        <f>IF('3. Clasificacion'!E6="Pasivo",B32,NA())</f>
        <v/>
      </c>
      <c r="I32" s="30">
        <f>IF('3. Clasificacion'!E6="Pasivo",C32,NA())</f>
        <v/>
      </c>
      <c r="J32" s="30">
        <f>IF('3. Clasificacion'!E6="Indiferente",B32,NA())</f>
        <v/>
      </c>
      <c r="K32" s="30">
        <f>IF('3. Clasificacion'!E6="Indiferente",C32,NA())</f>
        <v/>
      </c>
    </row>
    <row r="33">
      <c r="A33" s="29" t="inlineStr">
        <is>
          <t>P3</t>
        </is>
      </c>
      <c r="B33" s="30">
        <f>'3. Clasificacion'!C7</f>
        <v/>
      </c>
      <c r="C33" s="30">
        <f>'3. Clasificacion'!D7</f>
        <v/>
      </c>
      <c r="D33" s="30">
        <f>IF('3. Clasificacion'!E7="Critico",B33,NA())</f>
        <v/>
      </c>
      <c r="E33" s="30">
        <f>IF('3. Clasificacion'!E7="Critico",C33,NA())</f>
        <v/>
      </c>
      <c r="F33" s="30">
        <f>IF('3. Clasificacion'!E7="Activo",B33,NA())</f>
        <v/>
      </c>
      <c r="G33" s="30">
        <f>IF('3. Clasificacion'!E7="Activo",C33,NA())</f>
        <v/>
      </c>
      <c r="H33" s="30">
        <f>IF('3. Clasificacion'!E7="Pasivo",B33,NA())</f>
        <v/>
      </c>
      <c r="I33" s="30">
        <f>IF('3. Clasificacion'!E7="Pasivo",C33,NA())</f>
        <v/>
      </c>
      <c r="J33" s="30">
        <f>IF('3. Clasificacion'!E7="Indiferente",B33,NA())</f>
        <v/>
      </c>
      <c r="K33" s="30">
        <f>IF('3. Clasificacion'!E7="Indiferente",C33,NA())</f>
        <v/>
      </c>
    </row>
    <row r="34">
      <c r="A34" s="29" t="inlineStr">
        <is>
          <t>P4</t>
        </is>
      </c>
      <c r="B34" s="30">
        <f>'3. Clasificacion'!C8</f>
        <v/>
      </c>
      <c r="C34" s="30">
        <f>'3. Clasificacion'!D8</f>
        <v/>
      </c>
      <c r="D34" s="30">
        <f>IF('3. Clasificacion'!E8="Critico",B34,NA())</f>
        <v/>
      </c>
      <c r="E34" s="30">
        <f>IF('3. Clasificacion'!E8="Critico",C34,NA())</f>
        <v/>
      </c>
      <c r="F34" s="30">
        <f>IF('3. Clasificacion'!E8="Activo",B34,NA())</f>
        <v/>
      </c>
      <c r="G34" s="30">
        <f>IF('3. Clasificacion'!E8="Activo",C34,NA())</f>
        <v/>
      </c>
      <c r="H34" s="30">
        <f>IF('3. Clasificacion'!E8="Pasivo",B34,NA())</f>
        <v/>
      </c>
      <c r="I34" s="30">
        <f>IF('3. Clasificacion'!E8="Pasivo",C34,NA())</f>
        <v/>
      </c>
      <c r="J34" s="30">
        <f>IF('3. Clasificacion'!E8="Indiferente",B34,NA())</f>
        <v/>
      </c>
      <c r="K34" s="30">
        <f>IF('3. Clasificacion'!E8="Indiferente",C34,NA())</f>
        <v/>
      </c>
    </row>
    <row r="35">
      <c r="A35" s="29" t="inlineStr">
        <is>
          <t>P5</t>
        </is>
      </c>
      <c r="B35" s="30">
        <f>'3. Clasificacion'!C9</f>
        <v/>
      </c>
      <c r="C35" s="30">
        <f>'3. Clasificacion'!D9</f>
        <v/>
      </c>
      <c r="D35" s="30">
        <f>IF('3. Clasificacion'!E9="Critico",B35,NA())</f>
        <v/>
      </c>
      <c r="E35" s="30">
        <f>IF('3. Clasificacion'!E9="Critico",C35,NA())</f>
        <v/>
      </c>
      <c r="F35" s="30">
        <f>IF('3. Clasificacion'!E9="Activo",B35,NA())</f>
        <v/>
      </c>
      <c r="G35" s="30">
        <f>IF('3. Clasificacion'!E9="Activo",C35,NA())</f>
        <v/>
      </c>
      <c r="H35" s="30">
        <f>IF('3. Clasificacion'!E9="Pasivo",B35,NA())</f>
        <v/>
      </c>
      <c r="I35" s="30">
        <f>IF('3. Clasificacion'!E9="Pasivo",C35,NA())</f>
        <v/>
      </c>
      <c r="J35" s="30">
        <f>IF('3. Clasificacion'!E9="Indiferente",B35,NA())</f>
        <v/>
      </c>
      <c r="K35" s="30">
        <f>IF('3. Clasificacion'!E9="Indiferente",C35,NA())</f>
        <v/>
      </c>
    </row>
    <row r="36">
      <c r="A36" s="29" t="inlineStr">
        <is>
          <t>P6</t>
        </is>
      </c>
      <c r="B36" s="30">
        <f>'3. Clasificacion'!C10</f>
        <v/>
      </c>
      <c r="C36" s="30">
        <f>'3. Clasificacion'!D10</f>
        <v/>
      </c>
      <c r="D36" s="30">
        <f>IF('3. Clasificacion'!E10="Critico",B36,NA())</f>
        <v/>
      </c>
      <c r="E36" s="30">
        <f>IF('3. Clasificacion'!E10="Critico",C36,NA())</f>
        <v/>
      </c>
      <c r="F36" s="30">
        <f>IF('3. Clasificacion'!E10="Activo",B36,NA())</f>
        <v/>
      </c>
      <c r="G36" s="30">
        <f>IF('3. Clasificacion'!E10="Activo",C36,NA())</f>
        <v/>
      </c>
      <c r="H36" s="30">
        <f>IF('3. Clasificacion'!E10="Pasivo",B36,NA())</f>
        <v/>
      </c>
      <c r="I36" s="30">
        <f>IF('3. Clasificacion'!E10="Pasivo",C36,NA())</f>
        <v/>
      </c>
      <c r="J36" s="30">
        <f>IF('3. Clasificacion'!E10="Indiferente",B36,NA())</f>
        <v/>
      </c>
      <c r="K36" s="30">
        <f>IF('3. Clasificacion'!E10="Indiferente",C36,NA())</f>
        <v/>
      </c>
    </row>
    <row r="37">
      <c r="A37" s="29" t="inlineStr">
        <is>
          <t>P7</t>
        </is>
      </c>
      <c r="B37" s="30">
        <f>'3. Clasificacion'!C11</f>
        <v/>
      </c>
      <c r="C37" s="30">
        <f>'3. Clasificacion'!D11</f>
        <v/>
      </c>
      <c r="D37" s="30">
        <f>IF('3. Clasificacion'!E11="Critico",B37,NA())</f>
        <v/>
      </c>
      <c r="E37" s="30">
        <f>IF('3. Clasificacion'!E11="Critico",C37,NA())</f>
        <v/>
      </c>
      <c r="F37" s="30">
        <f>IF('3. Clasificacion'!E11="Activo",B37,NA())</f>
        <v/>
      </c>
      <c r="G37" s="30">
        <f>IF('3. Clasificacion'!E11="Activo",C37,NA())</f>
        <v/>
      </c>
      <c r="H37" s="30">
        <f>IF('3. Clasificacion'!E11="Pasivo",B37,NA())</f>
        <v/>
      </c>
      <c r="I37" s="30">
        <f>IF('3. Clasificacion'!E11="Pasivo",C37,NA())</f>
        <v/>
      </c>
      <c r="J37" s="30">
        <f>IF('3. Clasificacion'!E11="Indiferente",B37,NA())</f>
        <v/>
      </c>
      <c r="K37" s="30">
        <f>IF('3. Clasificacion'!E11="Indiferente",C37,NA())</f>
        <v/>
      </c>
    </row>
    <row r="38">
      <c r="A38" s="29" t="inlineStr">
        <is>
          <t>P8</t>
        </is>
      </c>
      <c r="B38" s="30">
        <f>'3. Clasificacion'!C12</f>
        <v/>
      </c>
      <c r="C38" s="30">
        <f>'3. Clasificacion'!D12</f>
        <v/>
      </c>
      <c r="D38" s="30">
        <f>IF('3. Clasificacion'!E12="Critico",B38,NA())</f>
        <v/>
      </c>
      <c r="E38" s="30">
        <f>IF('3. Clasificacion'!E12="Critico",C38,NA())</f>
        <v/>
      </c>
      <c r="F38" s="30">
        <f>IF('3. Clasificacion'!E12="Activo",B38,NA())</f>
        <v/>
      </c>
      <c r="G38" s="30">
        <f>IF('3. Clasificacion'!E12="Activo",C38,NA())</f>
        <v/>
      </c>
      <c r="H38" s="30">
        <f>IF('3. Clasificacion'!E12="Pasivo",B38,NA())</f>
        <v/>
      </c>
      <c r="I38" s="30">
        <f>IF('3. Clasificacion'!E12="Pasivo",C38,NA())</f>
        <v/>
      </c>
      <c r="J38" s="30">
        <f>IF('3. Clasificacion'!E12="Indiferente",B38,NA())</f>
        <v/>
      </c>
      <c r="K38" s="30">
        <f>IF('3. Clasificacion'!E12="Indiferente",C38,NA())</f>
        <v/>
      </c>
    </row>
    <row r="39">
      <c r="A39" s="29" t="inlineStr">
        <is>
          <t>P9</t>
        </is>
      </c>
      <c r="B39" s="30">
        <f>'3. Clasificacion'!C13</f>
        <v/>
      </c>
      <c r="C39" s="30">
        <f>'3. Clasificacion'!D13</f>
        <v/>
      </c>
      <c r="D39" s="30">
        <f>IF('3. Clasificacion'!E13="Critico",B39,NA())</f>
        <v/>
      </c>
      <c r="E39" s="30">
        <f>IF('3. Clasificacion'!E13="Critico",C39,NA())</f>
        <v/>
      </c>
      <c r="F39" s="30">
        <f>IF('3. Clasificacion'!E13="Activo",B39,NA())</f>
        <v/>
      </c>
      <c r="G39" s="30">
        <f>IF('3. Clasificacion'!E13="Activo",C39,NA())</f>
        <v/>
      </c>
      <c r="H39" s="30">
        <f>IF('3. Clasificacion'!E13="Pasivo",B39,NA())</f>
        <v/>
      </c>
      <c r="I39" s="30">
        <f>IF('3. Clasificacion'!E13="Pasivo",C39,NA())</f>
        <v/>
      </c>
      <c r="J39" s="30">
        <f>IF('3. Clasificacion'!E13="Indiferente",B39,NA())</f>
        <v/>
      </c>
      <c r="K39" s="30">
        <f>IF('3. Clasificacion'!E13="Indiferente",C39,NA())</f>
        <v/>
      </c>
    </row>
    <row r="40">
      <c r="A40" s="29" t="inlineStr">
        <is>
          <t>P10</t>
        </is>
      </c>
      <c r="B40" s="30">
        <f>'3. Clasificacion'!C14</f>
        <v/>
      </c>
      <c r="C40" s="30">
        <f>'3. Clasificacion'!D14</f>
        <v/>
      </c>
      <c r="D40" s="30">
        <f>IF('3. Clasificacion'!E14="Critico",B40,NA())</f>
        <v/>
      </c>
      <c r="E40" s="30">
        <f>IF('3. Clasificacion'!E14="Critico",C40,NA())</f>
        <v/>
      </c>
      <c r="F40" s="30">
        <f>IF('3. Clasificacion'!E14="Activo",B40,NA())</f>
        <v/>
      </c>
      <c r="G40" s="30">
        <f>IF('3. Clasificacion'!E14="Activo",C40,NA())</f>
        <v/>
      </c>
      <c r="H40" s="30">
        <f>IF('3. Clasificacion'!E14="Pasivo",B40,NA())</f>
        <v/>
      </c>
      <c r="I40" s="30">
        <f>IF('3. Clasificacion'!E14="Pasivo",C40,NA())</f>
        <v/>
      </c>
      <c r="J40" s="30">
        <f>IF('3. Clasificacion'!E14="Indiferente",B40,NA())</f>
        <v/>
      </c>
      <c r="K40" s="30">
        <f>IF('3. Clasificacion'!E14="Indiferente",C40,NA())</f>
        <v/>
      </c>
    </row>
  </sheetData>
  <mergeCells count="1">
    <mergeCell ref="A2:H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2026-09-20T22:53:08Z</dcterms:created>
  <dcterms:modified xmlns:dcterms="http://purl.org/dc/terms/" xmlns:xsi="http://www.w3.org/2001/XMLSchema-instance" xsi:type="dcterms:W3CDTF">2026-09-20T22:53:08Z</dcterms:modified>
</cp:coreProperties>
</file>